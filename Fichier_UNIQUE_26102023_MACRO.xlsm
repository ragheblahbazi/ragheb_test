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.lahbazi\Desktop\ima\premier_test\"/>
    </mc:Choice>
  </mc:AlternateContent>
  <xr:revisionPtr revIDLastSave="0" documentId="13_ncr:1_{2BDB3083-9C8B-4DA4-AA15-61BE9903BFF8}" xr6:coauthVersionLast="47" xr6:coauthVersionMax="47" xr10:uidLastSave="{00000000-0000-0000-0000-000000000000}"/>
  <bookViews>
    <workbookView xWindow="-110" yWindow="-110" windowWidth="19420" windowHeight="10420" xr2:uid="{7A328EB6-299D-4EFB-B5C9-8A22F0571FD2}"/>
  </bookViews>
  <sheets>
    <sheet name="Projet" sheetId="1" r:id="rId1"/>
    <sheet name="TCD" sheetId="6" r:id="rId2"/>
    <sheet name="IMA Stock Logistica" sheetId="11" r:id="rId3"/>
    <sheet name="Critical Matrix" sheetId="10" r:id="rId4"/>
    <sheet name="Update List" sheetId="9" r:id="rId5"/>
    <sheet name="To do list" sheetId="4" state="hidden" r:id="rId6"/>
    <sheet name="Pilotage" sheetId="7" r:id="rId7"/>
  </sheets>
  <functionGroups builtInGroupCount="19"/>
  <definedNames>
    <definedName name="_xlnm._FilterDatabase" localSheetId="2" hidden="1">'IMA Stock Logistica'!#REF!</definedName>
    <definedName name="_xlnm._FilterDatabase" localSheetId="0" hidden="1">Projet!$T$8:$AO$9</definedName>
    <definedName name="DATA1" localSheetId="2">'IMA Stock Logistica'!#REF!</definedName>
    <definedName name="DATA1">#REF!</definedName>
    <definedName name="DATA10" localSheetId="2">'IMA Stock Logistica'!#REF!</definedName>
    <definedName name="DATA10">#REF!</definedName>
    <definedName name="DATA11" localSheetId="2">'IMA Stock Logistica'!#REF!</definedName>
    <definedName name="DATA11">#REF!</definedName>
    <definedName name="DATA12" localSheetId="2">'IMA Stock Logistica'!#REF!</definedName>
    <definedName name="DATA12">#REF!</definedName>
    <definedName name="DATA13" localSheetId="2">'IMA Stock Logistica'!#REF!</definedName>
    <definedName name="DATA13">#REF!</definedName>
    <definedName name="DATA14" localSheetId="2">'IMA Stock Logistica'!#REF!</definedName>
    <definedName name="DATA14">#REF!</definedName>
    <definedName name="DATA15" localSheetId="2">'IMA Stock Logistica'!#REF!</definedName>
    <definedName name="DATA15">#REF!</definedName>
    <definedName name="DATA16" localSheetId="2">'IMA Stock Logistica'!#REF!</definedName>
    <definedName name="DATA16">#REF!</definedName>
    <definedName name="DATA17" localSheetId="2">'IMA Stock Logistica'!#REF!</definedName>
    <definedName name="DATA17">#REF!</definedName>
    <definedName name="DATA18" localSheetId="2">'IMA Stock Logistica'!#REF!</definedName>
    <definedName name="DATA18">#REF!</definedName>
    <definedName name="DATA19" localSheetId="2">'IMA Stock Logistica'!#REF!</definedName>
    <definedName name="DATA19">#REF!</definedName>
    <definedName name="DATA2" localSheetId="2">'IMA Stock Logistica'!#REF!</definedName>
    <definedName name="DATA2">#REF!</definedName>
    <definedName name="DATA20" localSheetId="2">'IMA Stock Logistica'!#REF!</definedName>
    <definedName name="DATA20">#REF!</definedName>
    <definedName name="DATA21" localSheetId="2">'IMA Stock Logistica'!#REF!</definedName>
    <definedName name="DATA21">#REF!</definedName>
    <definedName name="DATA22" localSheetId="2">'IMA Stock Logistica'!#REF!</definedName>
    <definedName name="DATA22">#REF!</definedName>
    <definedName name="DATA23" localSheetId="2">'IMA Stock Logistica'!#REF!</definedName>
    <definedName name="DATA23">#REF!</definedName>
    <definedName name="DATA24" localSheetId="2">'IMA Stock Logistica'!#REF!</definedName>
    <definedName name="DATA24">#REF!</definedName>
    <definedName name="DATA25" localSheetId="2">'IMA Stock Logistica'!#REF!</definedName>
    <definedName name="DATA25">#REF!</definedName>
    <definedName name="DATA26" localSheetId="2">'IMA Stock Logistica'!#REF!</definedName>
    <definedName name="DATA26">#REF!</definedName>
    <definedName name="DATA27" localSheetId="2">'IMA Stock Logistica'!#REF!</definedName>
    <definedName name="DATA27">#REF!</definedName>
    <definedName name="DATA28" localSheetId="2">'IMA Stock Logistica'!#REF!</definedName>
    <definedName name="DATA28">#REF!</definedName>
    <definedName name="DATA29" localSheetId="2">'IMA Stock Logistica'!#REF!</definedName>
    <definedName name="DATA29">#REF!</definedName>
    <definedName name="DATA3" localSheetId="2">'IMA Stock Logistica'!#REF!</definedName>
    <definedName name="DATA3">#REF!</definedName>
    <definedName name="DATA30" localSheetId="2">'IMA Stock Logistica'!#REF!</definedName>
    <definedName name="DATA30">#REF!</definedName>
    <definedName name="DATA31" localSheetId="2">'IMA Stock Logistica'!#REF!</definedName>
    <definedName name="DATA31">#REF!</definedName>
    <definedName name="DATA32" localSheetId="2">'IMA Stock Logistica'!#REF!</definedName>
    <definedName name="DATA32">#REF!</definedName>
    <definedName name="DATA33" localSheetId="2">'IMA Stock Logistica'!#REF!</definedName>
    <definedName name="DATA33">#REF!</definedName>
    <definedName name="DATA4" localSheetId="2">'IMA Stock Logistica'!#REF!</definedName>
    <definedName name="DATA4">#REF!</definedName>
    <definedName name="DATA5" localSheetId="2">'IMA Stock Logistica'!#REF!</definedName>
    <definedName name="DATA5">#REF!</definedName>
    <definedName name="DATA6" localSheetId="2">'IMA Stock Logistica'!#REF!</definedName>
    <definedName name="DATA6">#REF!</definedName>
    <definedName name="DATA7" localSheetId="2">'IMA Stock Logistica'!#REF!</definedName>
    <definedName name="DATA7">#REF!</definedName>
    <definedName name="DATA8" localSheetId="2">'IMA Stock Logistica'!#REF!</definedName>
    <definedName name="DATA8">#REF!</definedName>
    <definedName name="DATA9" localSheetId="2">'IMA Stock Logistica'!#REF!</definedName>
    <definedName name="DATA9">#REF!</definedName>
    <definedName name="Date_du_besoin">Projet!$I$5</definedName>
    <definedName name="Stock_path">Projet!$K$5</definedName>
    <definedName name="TEST1" localSheetId="2">'IMA Stock Logistica'!#REF!</definedName>
    <definedName name="TEST1">#REF!</definedName>
    <definedName name="TEST2">'IMA Stock Logistica'!#REF!</definedName>
    <definedName name="TEST3">'IMA Stock Logistica'!#REF!</definedName>
    <definedName name="TESTHKEY" localSheetId="2">'IMA Stock Logistica'!#REF!</definedName>
    <definedName name="TESTHKEY">#REF!</definedName>
    <definedName name="TESTKEYS" localSheetId="2">'IMA Stock Logistica'!#REF!</definedName>
    <definedName name="TESTKEYS">#REF!</definedName>
    <definedName name="TESTVKEY" localSheetId="2">'IMA Stock Logistica'!#REF!</definedName>
    <definedName name="TESTVKEY">#REF!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1" l="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2" i="11"/>
  <c r="O9" i="1"/>
  <c r="I9" i="1" l="1"/>
  <c r="L9" i="1" l="1"/>
  <c r="AO9" i="1"/>
  <c r="T9" i="1"/>
  <c r="AM9" i="1" l="1"/>
  <c r="AC9" i="1"/>
  <c r="AJ9" i="1"/>
  <c r="AN9" i="1"/>
  <c r="AD9" i="1"/>
  <c r="AK9" i="1"/>
  <c r="AF9" i="1"/>
  <c r="Y9" i="1"/>
  <c r="AG9" i="1"/>
  <c r="AL9" i="1"/>
  <c r="Z9" i="1"/>
  <c r="AH9" i="1"/>
  <c r="AA9" i="1"/>
  <c r="AE9" i="1"/>
  <c r="AI9" i="1"/>
  <c r="X9" i="1"/>
  <c r="AB9" i="1"/>
  <c r="U9" i="1" l="1"/>
  <c r="W9" i="1"/>
  <c r="V9" i="1"/>
</calcChain>
</file>

<file path=xl/sharedStrings.xml><?xml version="1.0" encoding="utf-8"?>
<sst xmlns="http://schemas.openxmlformats.org/spreadsheetml/2006/main" count="873" uniqueCount="323">
  <si>
    <t>SAP Code</t>
  </si>
  <si>
    <t>530D576</t>
  </si>
  <si>
    <t>530D616</t>
  </si>
  <si>
    <t>530D731</t>
  </si>
  <si>
    <t>530D835</t>
  </si>
  <si>
    <t>530D837</t>
  </si>
  <si>
    <t>581B459</t>
  </si>
  <si>
    <t>581B770</t>
  </si>
  <si>
    <t>581C176</t>
  </si>
  <si>
    <t>581C195</t>
  </si>
  <si>
    <t>581C196</t>
  </si>
  <si>
    <t>581D220</t>
  </si>
  <si>
    <t>601A696</t>
  </si>
  <si>
    <t>601B222</t>
  </si>
  <si>
    <t>601B493</t>
  </si>
  <si>
    <t>601B663</t>
  </si>
  <si>
    <t>601B876</t>
  </si>
  <si>
    <t>M01040333</t>
  </si>
  <si>
    <t>M01040630</t>
  </si>
  <si>
    <t>581C177</t>
  </si>
  <si>
    <t>581C178</t>
  </si>
  <si>
    <t>581C190</t>
  </si>
  <si>
    <t>581C194</t>
  </si>
  <si>
    <t>581C197</t>
  </si>
  <si>
    <t>601B630</t>
  </si>
  <si>
    <t>601B873</t>
  </si>
  <si>
    <t>601B911</t>
  </si>
  <si>
    <t>601B914</t>
  </si>
  <si>
    <t>601B302</t>
  </si>
  <si>
    <t>B206859</t>
  </si>
  <si>
    <t>B251350</t>
  </si>
  <si>
    <t>E01020233</t>
  </si>
  <si>
    <t>E05030023</t>
  </si>
  <si>
    <t>601B110</t>
  </si>
  <si>
    <t>530B166</t>
  </si>
  <si>
    <t>530D671</t>
  </si>
  <si>
    <t>530D677</t>
  </si>
  <si>
    <t>M01040610</t>
  </si>
  <si>
    <t>601B667</t>
  </si>
  <si>
    <t>Date du besoin</t>
  </si>
  <si>
    <t>Article</t>
  </si>
  <si>
    <t>Utilis. libre</t>
  </si>
  <si>
    <t>En ctrle qual.</t>
  </si>
  <si>
    <t>Bloqué</t>
  </si>
  <si>
    <t>Consign.util.lbre</t>
  </si>
  <si>
    <t>Transfert</t>
  </si>
  <si>
    <t xml:space="preserve">Stock IAS </t>
  </si>
  <si>
    <t>Stock central IMA Logistica</t>
  </si>
  <si>
    <t>Bill Of Materials</t>
  </si>
  <si>
    <t>Colonne C: a remplir a partir de la colonne K</t>
  </si>
  <si>
    <t>Question: Est-ce qu'il faut garder les anciens données après chaque importation ou les laisser dans le fichier?</t>
  </si>
  <si>
    <t>Colonne D: a remplir a partir de la colonne B</t>
  </si>
  <si>
    <t>Colonne E: a remplir a partir de la colonne I</t>
  </si>
  <si>
    <t>Colonne F: IEMA</t>
  </si>
  <si>
    <t xml:space="preserve">Colonne A: LIB35 </t>
  </si>
  <si>
    <t>Colonne G: a remplir a partir de la colonne M</t>
  </si>
  <si>
    <t>Colonne I: a remplir a partir de la colonne L</t>
  </si>
  <si>
    <t>Colonne H: Zone de saisie ou remplir une cellule excel</t>
  </si>
  <si>
    <t xml:space="preserve">Demander a l'utilisateur de selectionner / Deuxieme solution: Selectionner la derniere version du fichier </t>
  </si>
  <si>
    <t>L:\Supply\Public\STOCK</t>
  </si>
  <si>
    <t>Colonne J est rempli à partir du fichier : stock_med.. Colonne J (la colonne G du fichier stock correspond au code article du produit)</t>
  </si>
  <si>
    <t>Colonne K a remplir a partir de la colonne F de l'extract SAP (IMA stock logistica) --&gt; Fichier actuel</t>
  </si>
  <si>
    <t>Mettre la cellule code SAP en rouge si code non trouvé</t>
  </si>
  <si>
    <t>Critère: 0/1/2/3</t>
  </si>
  <si>
    <t>0: Stock (colonne K) &gt; BOM (colonne I) et date de livraison confirmé (colonne G) &lt;= à la date du besoin (colonne H) =&gt; 0 (pièce totalement sécurisé)</t>
  </si>
  <si>
    <t>1: Stock (colonne K) = 0 --&gt; 1 et Date de livraison (colonne G) =&lt; Date du besoin (colonne H) =&gt; 1</t>
  </si>
  <si>
    <t xml:space="preserve">2: Stock (colonne K) = 0 et date de livraison confirmé (colonne G)  ou &gt; à la date du besoin (Colonne H) --&gt; 2 / Stock= 0 Date de livraison manquante ou =&lt;  date du besoin = 2 </t>
  </si>
  <si>
    <t>Si stock est disponible mais date de livraison est superieur a la date du besoin --&gt; ?</t>
  </si>
  <si>
    <t>3: Stock (colonne K) = 0 et date de livraison manquante (colonne G) ou &gt; date du besoin (colonne H) = 3</t>
  </si>
  <si>
    <t>Tache 1: Créer un bouton pour importer les fichiers des fournisseurs (3 sources)</t>
  </si>
  <si>
    <t xml:space="preserve">Rajouter un bouton qui permet de supprimer les anciens projets, avec un message de confirmation? / ou sauvegarder les anciens projets dans une feuille old </t>
  </si>
  <si>
    <t>Colonne B: du fichier projet: remplir a partir de la colonne J de l'extract SAP du fournisseur</t>
  </si>
  <si>
    <t>x</t>
  </si>
  <si>
    <t>X</t>
  </si>
  <si>
    <t>CHOIX DE CELLULE à remplir</t>
  </si>
  <si>
    <t>Remarque</t>
  </si>
  <si>
    <t>cacher et fermer le supplieir file apres avoir finir la manup</t>
  </si>
  <si>
    <t>tenir en compte le fait que l'utilisateur ne choisie pas le supplier file</t>
  </si>
  <si>
    <t>verifier si l'utulisateur a choisie la bonne format date pour la date du besoin</t>
  </si>
  <si>
    <t>LIB35</t>
  </si>
  <si>
    <t>Nombre d'article</t>
  </si>
  <si>
    <t>NHV14</t>
  </si>
  <si>
    <t>NHV12</t>
  </si>
  <si>
    <t>NHV13</t>
  </si>
  <si>
    <t xml:space="preserve">Projets à supprimer </t>
  </si>
  <si>
    <t>Repertoires</t>
  </si>
  <si>
    <t>ShortName</t>
  </si>
  <si>
    <t>Project Name</t>
  </si>
  <si>
    <t>KM40</t>
  </si>
  <si>
    <t>LN66-11006</t>
  </si>
  <si>
    <t>T2T01</t>
  </si>
  <si>
    <t>SA66-11184</t>
  </si>
  <si>
    <t>RAI07</t>
  </si>
  <si>
    <t>SA66-11185</t>
  </si>
  <si>
    <t>WES01</t>
  </si>
  <si>
    <t>SA66-11186</t>
  </si>
  <si>
    <t>NHV09</t>
  </si>
  <si>
    <t>SA66-11188</t>
  </si>
  <si>
    <t>NHV10</t>
  </si>
  <si>
    <t>SA66-11190</t>
  </si>
  <si>
    <t>IWS02</t>
  </si>
  <si>
    <t>SA66-11191</t>
  </si>
  <si>
    <t>ADD01</t>
  </si>
  <si>
    <t>SA66-11192</t>
  </si>
  <si>
    <t>NHV11</t>
  </si>
  <si>
    <t>SA66-11193</t>
  </si>
  <si>
    <t>R5B</t>
  </si>
  <si>
    <t>SA66-11194</t>
  </si>
  <si>
    <t>RAI08</t>
  </si>
  <si>
    <t>SA66-11195</t>
  </si>
  <si>
    <t>RAI09</t>
  </si>
  <si>
    <t>SA66-11196</t>
  </si>
  <si>
    <t>SA66-11197</t>
  </si>
  <si>
    <t>SA66-11198</t>
  </si>
  <si>
    <t>RFX01</t>
  </si>
  <si>
    <t>SA66-11199</t>
  </si>
  <si>
    <t>ADD02</t>
  </si>
  <si>
    <t>SA66-11200</t>
  </si>
  <si>
    <t>LIB34</t>
  </si>
  <si>
    <t>SA66-11201</t>
  </si>
  <si>
    <t>SA66-11202</t>
  </si>
  <si>
    <t>SA66-11203</t>
  </si>
  <si>
    <t>NHV15</t>
  </si>
  <si>
    <t>SA66-11204</t>
  </si>
  <si>
    <t>NHV16</t>
  </si>
  <si>
    <t>SA66-11205</t>
  </si>
  <si>
    <t>RAI10</t>
  </si>
  <si>
    <t>SA66-11206</t>
  </si>
  <si>
    <t>RAI11</t>
  </si>
  <si>
    <t>SA66-11207</t>
  </si>
  <si>
    <t>LIB36</t>
  </si>
  <si>
    <t>SA66-11208</t>
  </si>
  <si>
    <t>PPM02</t>
  </si>
  <si>
    <t>SA66-11209</t>
  </si>
  <si>
    <t>SHV01</t>
  </si>
  <si>
    <t>SA66-21005</t>
  </si>
  <si>
    <t>MMSi</t>
  </si>
  <si>
    <t>SA66-21007</t>
  </si>
  <si>
    <t>SUT03</t>
  </si>
  <si>
    <t>SA66-21008</t>
  </si>
  <si>
    <t>SUT04</t>
  </si>
  <si>
    <t>SA66-21009</t>
  </si>
  <si>
    <t>TAK01</t>
  </si>
  <si>
    <t>SA66-21010</t>
  </si>
  <si>
    <t>IBT02</t>
  </si>
  <si>
    <t>SA66-23001</t>
  </si>
  <si>
    <t>ROL02</t>
  </si>
  <si>
    <t>SA66-23002</t>
  </si>
  <si>
    <t>ROL03</t>
  </si>
  <si>
    <t>SA66-23003</t>
  </si>
  <si>
    <t>ROL04</t>
  </si>
  <si>
    <t>SA66-23004</t>
  </si>
  <si>
    <t>ROL05</t>
  </si>
  <si>
    <t>SA66-25000</t>
  </si>
  <si>
    <t>XEN01</t>
  </si>
  <si>
    <t>SA66-29000</t>
  </si>
  <si>
    <t>FHR01</t>
  </si>
  <si>
    <t>SA66-29001</t>
  </si>
  <si>
    <t>MXN01</t>
  </si>
  <si>
    <t xml:space="preserve"> </t>
  </si>
  <si>
    <t>Supply</t>
  </si>
  <si>
    <t>Lien</t>
  </si>
  <si>
    <t>CSV File</t>
  </si>
  <si>
    <t>Power On; Date du besoin</t>
  </si>
  <si>
    <t>Envoi total effectué</t>
  </si>
  <si>
    <t>Normalement recu, en attente de check par IEMA</t>
  </si>
  <si>
    <t>Envoi partiel</t>
  </si>
  <si>
    <t>0 pièces envoyé</t>
  </si>
  <si>
    <t>530D676</t>
  </si>
  <si>
    <t>581C175</t>
  </si>
  <si>
    <t>581C192</t>
  </si>
  <si>
    <t>581D140</t>
  </si>
  <si>
    <t>601B220</t>
  </si>
  <si>
    <t>E01020232</t>
  </si>
  <si>
    <t>E09010087</t>
  </si>
  <si>
    <t>M01040190</t>
  </si>
  <si>
    <t>530D669</t>
  </si>
  <si>
    <t>530E374</t>
  </si>
  <si>
    <t>581D159</t>
  </si>
  <si>
    <t>601B664</t>
  </si>
  <si>
    <t>601B665</t>
  </si>
  <si>
    <t>605A042</t>
  </si>
  <si>
    <t>601B908</t>
  </si>
  <si>
    <t>601A526</t>
  </si>
  <si>
    <t>601B182</t>
  </si>
  <si>
    <t>PRODUCTION</t>
  </si>
  <si>
    <t>Type</t>
  </si>
  <si>
    <t>Machine</t>
  </si>
  <si>
    <t>DELIVERED</t>
  </si>
  <si>
    <t>cabinet</t>
  </si>
  <si>
    <t>RAI06</t>
  </si>
  <si>
    <t>UPS/HMI</t>
  </si>
  <si>
    <t>MD11</t>
  </si>
  <si>
    <t>M10 A</t>
  </si>
  <si>
    <t>MD12</t>
  </si>
  <si>
    <t>M10 B</t>
  </si>
  <si>
    <t>MD13</t>
  </si>
  <si>
    <t>MD14</t>
  </si>
  <si>
    <t>MD15</t>
  </si>
  <si>
    <t>M10 C</t>
  </si>
  <si>
    <t>MD16</t>
  </si>
  <si>
    <t>MD17</t>
  </si>
  <si>
    <t>M10 D</t>
  </si>
  <si>
    <t>MD18</t>
  </si>
  <si>
    <t>MD21</t>
  </si>
  <si>
    <t>M20</t>
  </si>
  <si>
    <t>MD31</t>
  </si>
  <si>
    <t>M30 A</t>
  </si>
  <si>
    <t>MD32</t>
  </si>
  <si>
    <t>M30 B</t>
  </si>
  <si>
    <t>MD41</t>
  </si>
  <si>
    <t>M40 A</t>
  </si>
  <si>
    <t>MD61</t>
  </si>
  <si>
    <t>M60 A</t>
  </si>
  <si>
    <t>&lt; à 7 JOURS VERT</t>
  </si>
  <si>
    <t>Entre 7 et 15 jours =&gt; Orange</t>
  </si>
  <si>
    <t>Update List</t>
  </si>
  <si>
    <t>Category</t>
  </si>
  <si>
    <t>Item designation</t>
  </si>
  <si>
    <t>Manufacturer name</t>
  </si>
  <si>
    <t>Part destination</t>
  </si>
  <si>
    <t>Missing references</t>
  </si>
  <si>
    <t>Project name</t>
  </si>
  <si>
    <t>Supplier name</t>
  </si>
  <si>
    <t>Confirmed delivery date</t>
  </si>
  <si>
    <t>Requirement date</t>
  </si>
  <si>
    <t>Destination 1</t>
  </si>
  <si>
    <t>Destination 2</t>
  </si>
  <si>
    <t>&gt; à 15 JOURS rouge</t>
  </si>
  <si>
    <t>Critical level</t>
  </si>
  <si>
    <t>SUPPLY</t>
  </si>
  <si>
    <t>Production</t>
  </si>
  <si>
    <t>Delivery</t>
  </si>
  <si>
    <t>Latest Updated file</t>
  </si>
  <si>
    <t>ETH</t>
  </si>
  <si>
    <t>M02</t>
  </si>
  <si>
    <t>M03</t>
  </si>
  <si>
    <t>M01</t>
  </si>
  <si>
    <t>SUM BOM</t>
  </si>
  <si>
    <t>Stock IMA &lt; BOM</t>
  </si>
  <si>
    <t>§16</t>
  </si>
  <si>
    <t>Stock IMA &gt;= BOM</t>
  </si>
  <si>
    <t>§15</t>
  </si>
  <si>
    <t>DJ</t>
  </si>
  <si>
    <t>DB</t>
  </si>
  <si>
    <t>§14</t>
  </si>
  <si>
    <t>§13</t>
  </si>
  <si>
    <t>§12</t>
  </si>
  <si>
    <t>§11</t>
  </si>
  <si>
    <t>DLC</t>
  </si>
  <si>
    <t>Luca 13.10.23</t>
  </si>
  <si>
    <t>§10</t>
  </si>
  <si>
    <t>Luca 03.10.23</t>
  </si>
  <si>
    <t>§9</t>
  </si>
  <si>
    <t>§8</t>
  </si>
  <si>
    <t>idem §5</t>
  </si>
  <si>
    <t>§7</t>
  </si>
  <si>
    <t>§6</t>
  </si>
  <si>
    <t>§5</t>
  </si>
  <si>
    <t>§4</t>
  </si>
  <si>
    <t>§3</t>
  </si>
  <si>
    <t>§2</t>
  </si>
  <si>
    <t>§1</t>
  </si>
  <si>
    <t>Date de Livraison Confirmée</t>
  </si>
  <si>
    <t>Date du Besoin</t>
  </si>
  <si>
    <t>Date du jour</t>
  </si>
  <si>
    <t>En cas de DB vide --&gt; Erreur</t>
  </si>
  <si>
    <t xml:space="preserve">0 = All good </t>
  </si>
  <si>
    <t>1 = A surveiller</t>
  </si>
  <si>
    <t>3 = Escalation</t>
  </si>
  <si>
    <t xml:space="preserve">2 = Action critique </t>
  </si>
  <si>
    <t>Critical Level</t>
  </si>
  <si>
    <t>DLC vide</t>
  </si>
  <si>
    <t>cas1</t>
  </si>
  <si>
    <t>cas3</t>
  </si>
  <si>
    <t>cas2</t>
  </si>
  <si>
    <t>cas4</t>
  </si>
  <si>
    <t>cas5</t>
  </si>
  <si>
    <t>cas6</t>
  </si>
  <si>
    <t>cas7</t>
  </si>
  <si>
    <t>cas8</t>
  </si>
  <si>
    <t>cas9</t>
  </si>
  <si>
    <t>cas10</t>
  </si>
  <si>
    <t>cas11</t>
  </si>
  <si>
    <t>cas12</t>
  </si>
  <si>
    <t>cas13</t>
  </si>
  <si>
    <t>cas14</t>
  </si>
  <si>
    <t>cas15</t>
  </si>
  <si>
    <t>cas16</t>
  </si>
  <si>
    <t>cas17</t>
  </si>
  <si>
    <t>Stock IMA &gt;=BOM</t>
  </si>
  <si>
    <t>cas18</t>
  </si>
  <si>
    <t>DB valide</t>
  </si>
  <si>
    <t>DLC valide</t>
  </si>
  <si>
    <t>0</t>
  </si>
  <si>
    <t>1</t>
  </si>
  <si>
    <t>2</t>
  </si>
  <si>
    <t>3</t>
  </si>
  <si>
    <t>DJ&lt; DB&lt;DLC</t>
  </si>
  <si>
    <t>DJ=&lt; DB&lt;DLC</t>
  </si>
  <si>
    <t>DJ&lt; DB&lt;=DLC</t>
  </si>
  <si>
    <t>DJ&lt;= DB&lt;=DLC</t>
  </si>
  <si>
    <t>DB=&lt; DJ&lt;DLC</t>
  </si>
  <si>
    <t>DB=DJ</t>
  </si>
  <si>
    <t xml:space="preserve">DJ&lt;DJ&lt; DB&lt;=DLC </t>
  </si>
  <si>
    <t>DB=DLC</t>
  </si>
  <si>
    <t xml:space="preserve">SUPPLY= Wiring not started yet </t>
  </si>
  <si>
    <t>DELIVERED= Machine/Cabinet delivered to LCF with missing components</t>
  </si>
  <si>
    <t>MED7369327</t>
  </si>
  <si>
    <t>MED7271803</t>
  </si>
  <si>
    <t>MED7304544</t>
  </si>
  <si>
    <t xml:space="preserve">PRODUCTION= Wiring on going at IEMA shop floor </t>
  </si>
  <si>
    <t>\\che03sp015\v001\auto\Operational_Excellence\Supply\10-Critical_Components\01-Extract_supplier\01-Supply</t>
  </si>
  <si>
    <t>\\che03sp015\v001\auto\Operational_Excellence\Supply\10-Critical_Components\01-Extract_supplier\02-Production</t>
  </si>
  <si>
    <t>\\che03sp015\v001\auto\Operational_Excellence\Supply\10-Critical_Components\01-Extract_supplier\03-Delivery</t>
  </si>
  <si>
    <t>Column Labels</t>
  </si>
  <si>
    <t>Row Labels</t>
  </si>
  <si>
    <t>(blank)</t>
  </si>
  <si>
    <t>Grand Total</t>
  </si>
  <si>
    <t>(All)</t>
  </si>
  <si>
    <t>Update List - Code couleur</t>
  </si>
  <si>
    <t>C:\Users\r.lahbazi\Desktop\ima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</si>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</sst>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/mm/yyyy;@"/>
  </numFmts>
  <fonts count="18" x14ac:knownFonts="1">
    <font>
      <sz val="10"/>
      <color theme="1"/>
      <name val="Verdana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rgb="FF000000"/>
      <name val="Verdana"/>
      <family val="2"/>
    </font>
    <font>
      <b/>
      <sz val="12"/>
      <color theme="1"/>
      <name val="Verdana"/>
      <family val="2"/>
    </font>
    <font>
      <sz val="11"/>
      <color rgb="FF000000"/>
      <name val="Calibri"/>
      <family val="2"/>
      <scheme val="minor"/>
    </font>
    <font>
      <b/>
      <sz val="10"/>
      <color theme="0"/>
      <name val="Verdana"/>
      <family val="2"/>
    </font>
    <font>
      <i/>
      <sz val="8"/>
      <color theme="1"/>
      <name val="Verdana"/>
      <family val="2"/>
    </font>
    <font>
      <sz val="8"/>
      <color theme="1"/>
      <name val="Verdana"/>
      <family val="2"/>
    </font>
    <font>
      <sz val="11"/>
      <color theme="1"/>
      <name val="Calibri"/>
      <family val="2"/>
    </font>
    <font>
      <b/>
      <sz val="8"/>
      <color rgb="FF1E1E1E"/>
      <name val="Segoe UI"/>
      <family val="2"/>
    </font>
    <font>
      <u/>
      <sz val="10"/>
      <color theme="10"/>
      <name val="Verdana"/>
      <family val="2"/>
    </font>
    <font>
      <b/>
      <sz val="10"/>
      <color rgb="FF3F3F3F"/>
      <name val="Verdana"/>
      <family val="2"/>
    </font>
    <font>
      <b/>
      <sz val="10"/>
      <name val="Verdana"/>
      <family val="2"/>
    </font>
    <font>
      <b/>
      <sz val="14"/>
      <name val="Verdana"/>
      <family val="2"/>
    </font>
    <font>
      <i/>
      <sz val="10"/>
      <color rgb="FF000000"/>
      <name val="Verdana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A5A5A5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9D08E"/>
      </top>
      <bottom style="medium">
        <color rgb="FFA9D08E"/>
      </bottom>
      <diagonal/>
    </border>
    <border>
      <left/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/>
      <right/>
      <top/>
      <bottom style="medium">
        <color rgb="FFA9D08E"/>
      </bottom>
      <diagonal/>
    </border>
    <border>
      <left/>
      <right style="medium">
        <color rgb="FFA9D08E"/>
      </right>
      <top/>
      <bottom style="medium">
        <color rgb="FFA9D08E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12" borderId="7" applyNumberFormat="0" applyAlignment="0" applyProtection="0"/>
    <xf numFmtId="0" fontId="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18" borderId="23" applyNumberFormat="0" applyAlignment="0" applyProtection="0"/>
  </cellStyleXfs>
  <cellXfs count="92">
    <xf numFmtId="0" fontId="0" fillId="0" borderId="0" xfId="0"/>
    <xf numFmtId="0" fontId="0" fillId="0" borderId="0" xfId="0" applyProtection="1">
      <protection hidden="1"/>
    </xf>
    <xf numFmtId="164" fontId="0" fillId="0" borderId="0" xfId="0" applyNumberFormat="1" applyProtection="1">
      <protection hidden="1"/>
    </xf>
    <xf numFmtId="4" fontId="0" fillId="0" borderId="0" xfId="0" applyNumberFormat="1"/>
    <xf numFmtId="0" fontId="3" fillId="0" borderId="0" xfId="0" applyFont="1" applyProtection="1">
      <protection hidden="1"/>
    </xf>
    <xf numFmtId="0" fontId="0" fillId="2" borderId="0" xfId="0" applyFill="1"/>
    <xf numFmtId="20" fontId="0" fillId="0" borderId="0" xfId="0" applyNumberFormat="1"/>
    <xf numFmtId="0" fontId="0" fillId="3" borderId="0" xfId="0" applyFill="1"/>
    <xf numFmtId="0" fontId="3" fillId="0" borderId="0" xfId="0" applyFont="1" applyAlignment="1" applyProtection="1">
      <alignment horizontal="center" vertical="center"/>
      <protection hidden="1"/>
    </xf>
    <xf numFmtId="14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0" xfId="0" pivotButton="1"/>
    <xf numFmtId="0" fontId="0" fillId="0" borderId="1" xfId="0" applyBorder="1" applyAlignment="1" applyProtection="1">
      <alignment wrapText="1"/>
      <protection hidden="1"/>
    </xf>
    <xf numFmtId="0" fontId="4" fillId="8" borderId="2" xfId="0" applyFont="1" applyFill="1" applyBorder="1" applyAlignment="1">
      <alignment vertical="center"/>
    </xf>
    <xf numFmtId="0" fontId="4" fillId="8" borderId="3" xfId="0" applyFont="1" applyFill="1" applyBorder="1" applyAlignment="1">
      <alignment vertical="center"/>
    </xf>
    <xf numFmtId="0" fontId="5" fillId="9" borderId="4" xfId="0" applyFont="1" applyFill="1" applyBorder="1" applyAlignment="1">
      <alignment vertical="center"/>
    </xf>
    <xf numFmtId="14" fontId="5" fillId="9" borderId="5" xfId="0" applyNumberFormat="1" applyFont="1" applyFill="1" applyBorder="1" applyAlignment="1">
      <alignment horizontal="right" vertical="center"/>
    </xf>
    <xf numFmtId="0" fontId="5" fillId="0" borderId="4" xfId="0" applyFont="1" applyBorder="1" applyAlignment="1">
      <alignment vertical="center"/>
    </xf>
    <xf numFmtId="14" fontId="5" fillId="0" borderId="5" xfId="0" applyNumberFormat="1" applyFont="1" applyBorder="1" applyAlignment="1">
      <alignment horizontal="right" vertical="center"/>
    </xf>
    <xf numFmtId="14" fontId="0" fillId="0" borderId="0" xfId="0" applyNumberFormat="1"/>
    <xf numFmtId="0" fontId="0" fillId="0" borderId="1" xfId="0" applyBorder="1"/>
    <xf numFmtId="0" fontId="0" fillId="0" borderId="6" xfId="0" applyBorder="1" applyProtection="1">
      <protection hidden="1"/>
    </xf>
    <xf numFmtId="0" fontId="7" fillId="5" borderId="1" xfId="0" applyFont="1" applyFill="1" applyBorder="1"/>
    <xf numFmtId="0" fontId="7" fillId="10" borderId="1" xfId="0" applyFont="1" applyFill="1" applyBorder="1"/>
    <xf numFmtId="0" fontId="7" fillId="11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8" fillId="12" borderId="7" xfId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Protection="1">
      <protection hidden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1" fillId="6" borderId="9" xfId="0" applyNumberFormat="1" applyFont="1" applyFill="1" applyBorder="1" applyProtection="1">
      <protection hidden="1"/>
    </xf>
    <xf numFmtId="1" fontId="0" fillId="0" borderId="9" xfId="0" applyNumberFormat="1" applyBorder="1" applyProtection="1">
      <protection hidden="1"/>
    </xf>
    <xf numFmtId="0" fontId="0" fillId="7" borderId="0" xfId="0" applyFill="1"/>
    <xf numFmtId="0" fontId="0" fillId="5" borderId="0" xfId="0" applyFill="1"/>
    <xf numFmtId="0" fontId="9" fillId="0" borderId="0" xfId="0" applyFont="1"/>
    <xf numFmtId="0" fontId="10" fillId="0" borderId="0" xfId="0" applyFont="1"/>
    <xf numFmtId="0" fontId="0" fillId="14" borderId="10" xfId="0" applyFill="1" applyBorder="1"/>
    <xf numFmtId="0" fontId="0" fillId="14" borderId="11" xfId="0" applyFill="1" applyBorder="1"/>
    <xf numFmtId="0" fontId="0" fillId="15" borderId="13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0" borderId="14" xfId="0" applyBorder="1"/>
    <xf numFmtId="0" fontId="0" fillId="17" borderId="12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15" xfId="0" applyFill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0" fillId="14" borderId="0" xfId="0" applyFill="1"/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9" fillId="0" borderId="17" xfId="0" applyFont="1" applyBorder="1"/>
    <xf numFmtId="0" fontId="0" fillId="0" borderId="20" xfId="0" applyBorder="1" applyAlignment="1">
      <alignment horizontal="center"/>
    </xf>
    <xf numFmtId="0" fontId="11" fillId="0" borderId="21" xfId="0" applyFont="1" applyBorder="1" applyAlignment="1">
      <alignment horizontal="left" vertical="center" indent="1"/>
    </xf>
    <xf numFmtId="0" fontId="11" fillId="0" borderId="22" xfId="0" applyFont="1" applyBorder="1" applyAlignment="1">
      <alignment horizontal="left" vertical="center" indent="1"/>
    </xf>
    <xf numFmtId="0" fontId="12" fillId="0" borderId="0" xfId="0" applyFont="1"/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13" fillId="0" borderId="27" xfId="3" applyBorder="1"/>
    <xf numFmtId="0" fontId="0" fillId="0" borderId="17" xfId="0" applyBorder="1"/>
    <xf numFmtId="0" fontId="0" fillId="0" borderId="28" xfId="0" applyBorder="1"/>
    <xf numFmtId="0" fontId="0" fillId="0" borderId="19" xfId="0" applyBorder="1"/>
    <xf numFmtId="0" fontId="14" fillId="18" borderId="29" xfId="4" applyBorder="1" applyAlignment="1">
      <alignment horizontal="center"/>
    </xf>
    <xf numFmtId="0" fontId="14" fillId="18" borderId="30" xfId="4" applyBorder="1"/>
    <xf numFmtId="14" fontId="14" fillId="18" borderId="31" xfId="4" applyNumberFormat="1" applyBorder="1"/>
    <xf numFmtId="0" fontId="0" fillId="19" borderId="0" xfId="0" applyFill="1"/>
    <xf numFmtId="0" fontId="0" fillId="19" borderId="32" xfId="0" applyFill="1" applyBorder="1"/>
    <xf numFmtId="0" fontId="15" fillId="4" borderId="8" xfId="2" applyFont="1" applyFill="1" applyAlignment="1" applyProtection="1">
      <alignment horizontal="center" vertical="center" wrapText="1"/>
      <protection hidden="1"/>
    </xf>
    <xf numFmtId="164" fontId="15" fillId="6" borderId="8" xfId="2" applyNumberFormat="1" applyFont="1" applyFill="1" applyAlignment="1" applyProtection="1">
      <alignment horizontal="center" vertical="center" wrapText="1"/>
      <protection hidden="1"/>
    </xf>
    <xf numFmtId="0" fontId="15" fillId="4" borderId="16" xfId="2" applyFont="1" applyFill="1" applyBorder="1" applyAlignment="1" applyProtection="1">
      <alignment horizontal="center" vertical="center" wrapText="1"/>
      <protection hidden="1"/>
    </xf>
    <xf numFmtId="0" fontId="15" fillId="4" borderId="8" xfId="2" applyNumberFormat="1" applyFont="1" applyFill="1" applyAlignment="1" applyProtection="1">
      <alignment horizontal="left" vertical="center" wrapText="1"/>
      <protection hidden="1"/>
    </xf>
    <xf numFmtId="165" fontId="16" fillId="15" borderId="33" xfId="0" applyNumberFormat="1" applyFont="1" applyFill="1" applyBorder="1" applyAlignment="1">
      <alignment horizontal="center" vertical="center"/>
    </xf>
    <xf numFmtId="0" fontId="13" fillId="0" borderId="17" xfId="3" applyBorder="1"/>
    <xf numFmtId="11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17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12" borderId="7" xfId="1" applyAlignment="1">
      <alignment horizontal="center"/>
    </xf>
    <xf numFmtId="0" fontId="6" fillId="0" borderId="0" xfId="0" applyFont="1" applyAlignment="1">
      <alignment horizontal="center" vertical="center"/>
    </xf>
  </cellXfs>
  <cellStyles count="5">
    <cellStyle name="Lien hypertexte" xfId="3" builtinId="8"/>
    <cellStyle name="Normal" xfId="0" builtinId="0"/>
    <cellStyle name="Sortie" xfId="4" builtinId="21"/>
    <cellStyle name="Total" xfId="2" builtinId="25"/>
    <cellStyle name="Vérification" xfId="1" builtinId="23"/>
  </cellStyles>
  <dxfs count="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9" formatCode="dd/mm/yyyy"/>
      <fill>
        <patternFill patternType="solid">
          <fgColor indexed="64"/>
          <bgColor rgb="FFE2EFDA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A9D08E"/>
        </right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border outline="0">
        <left style="medium">
          <color rgb="FFA9D08E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family val="2"/>
        <scheme val="none"/>
      </font>
      <fill>
        <patternFill patternType="solid">
          <fgColor indexed="64"/>
          <bgColor rgb="FF70AD47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A9D08E"/>
        </left>
        <right style="medium">
          <color rgb="FFA9D08E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numFmt numFmtId="1" formatCode="0"/>
      <protection locked="1" hidden="1"/>
    </dxf>
    <dxf>
      <numFmt numFmtId="0" formatCode="General"/>
      <protection locked="1" hidden="1"/>
    </dxf>
    <dxf>
      <numFmt numFmtId="0" formatCode="General"/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1" formatCode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[Fichier_UNIQUE_26102023_MACRO.xlsm]TCD!Tableau croisé dynamique2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175853018372701E-2"/>
          <c:y val="0.12253488057309501"/>
          <c:w val="0.69882414698162731"/>
          <c:h val="0.7174113953394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TCD!$B$5:$B$6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TCD!$B$7:$B$9</c:f>
              <c:numCache>
                <c:formatCode>General</c:formatCode>
                <c:ptCount val="2"/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5-4E7D-B849-1346B6EDBB0E}"/>
            </c:ext>
          </c:extLst>
        </c:ser>
        <c:ser>
          <c:idx val="1"/>
          <c:order val="1"/>
          <c:tx>
            <c:strRef>
              <c:f>TCD!$C$5:$C$6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TCD!$C$7:$C$9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5-4B6A-8103-5824C005BF72}"/>
            </c:ext>
          </c:extLst>
        </c:ser>
        <c:ser>
          <c:idx val="2"/>
          <c:order val="2"/>
          <c:tx>
            <c:strRef>
              <c:f>TCD!$D$5:$D$6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TCD!$D$7:$D$9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F5-4B6A-8103-5824C005BF7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16421679"/>
        <c:axId val="1786457295"/>
      </c:barChart>
      <c:catAx>
        <c:axId val="1616421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457295"/>
        <c:crosses val="autoZero"/>
        <c:auto val="1"/>
        <c:lblAlgn val="ctr"/>
        <c:lblOffset val="100"/>
        <c:noMultiLvlLbl val="0"/>
      </c:catAx>
      <c:valAx>
        <c:axId val="178645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421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0</xdr:row>
          <xdr:rowOff>336550</xdr:rowOff>
        </xdr:from>
        <xdr:to>
          <xdr:col>3</xdr:col>
          <xdr:colOff>1828800</xdr:colOff>
          <xdr:row>2</xdr:row>
          <xdr:rowOff>165100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0</xdr:row>
          <xdr:rowOff>336550</xdr:rowOff>
        </xdr:from>
        <xdr:to>
          <xdr:col>5</xdr:col>
          <xdr:colOff>1079500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0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884893</xdr:colOff>
          <xdr:row>0</xdr:row>
          <xdr:rowOff>150905</xdr:rowOff>
        </xdr:from>
        <xdr:to>
          <xdr:col>2</xdr:col>
          <xdr:colOff>2339043</xdr:colOff>
          <xdr:row>6</xdr:row>
          <xdr:rowOff>93382</xdr:rowOff>
        </xdr:to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3892788" y="150905"/>
              <a:ext cx="1454150" cy="1396293"/>
              <a:chOff x="13696951" y="91141"/>
              <a:chExt cx="1454150" cy="1384301"/>
            </a:xfrm>
          </xdr:grpSpPr>
          <xdr:sp macro="" textlink="">
            <xdr:nvSpPr>
              <xdr:cNvPr id="2053" name="SUPPLY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SpPr/>
            </xdr:nvSpPr>
            <xdr:spPr bwMode="auto">
              <a:xfrm>
                <a:off x="13696951" y="91141"/>
                <a:ext cx="1454150" cy="335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5" name="Production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000-000007080000}"/>
                  </a:ext>
                </a:extLst>
              </xdr:cNvPr>
              <xdr:cNvSpPr/>
            </xdr:nvSpPr>
            <xdr:spPr bwMode="auto">
              <a:xfrm>
                <a:off x="13696951" y="613523"/>
                <a:ext cx="1454150" cy="3372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6" name="DELIVERY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000-000008080000}"/>
                  </a:ext>
                </a:extLst>
              </xdr:cNvPr>
              <xdr:cNvSpPr/>
            </xdr:nvSpPr>
            <xdr:spPr bwMode="auto">
              <a:xfrm>
                <a:off x="13696951" y="1138145"/>
                <a:ext cx="1454150" cy="33729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1771650</xdr:colOff>
          <xdr:row>0</xdr:row>
          <xdr:rowOff>298450</xdr:rowOff>
        </xdr:from>
        <xdr:to>
          <xdr:col>6</xdr:col>
          <xdr:colOff>1403350</xdr:colOff>
          <xdr:row>2</xdr:row>
          <xdr:rowOff>152400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1</xdr:row>
      <xdr:rowOff>120648</xdr:rowOff>
    </xdr:from>
    <xdr:to>
      <xdr:col>18</xdr:col>
      <xdr:colOff>314325</xdr:colOff>
      <xdr:row>34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51288</xdr:colOff>
      <xdr:row>4</xdr:row>
      <xdr:rowOff>58616</xdr:rowOff>
    </xdr:from>
    <xdr:to>
      <xdr:col>5</xdr:col>
      <xdr:colOff>14654</xdr:colOff>
      <xdr:row>6</xdr:row>
      <xdr:rowOff>65942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64040" y="801391"/>
          <a:ext cx="2104307" cy="374345"/>
        </a:xfrm>
        <a:prstGeom prst="rightArrow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H" sz="1100" b="1">
              <a:solidFill>
                <a:sysClr val="windowText" lastClr="000000"/>
              </a:solidFill>
            </a:rPr>
            <a:t>Frise Chronologique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0</xdr:row>
          <xdr:rowOff>127000</xdr:rowOff>
        </xdr:from>
        <xdr:to>
          <xdr:col>8</xdr:col>
          <xdr:colOff>1746250</xdr:colOff>
          <xdr:row>2</xdr:row>
          <xdr:rowOff>31750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393700</xdr:colOff>
          <xdr:row>3</xdr:row>
          <xdr:rowOff>152400</xdr:rowOff>
        </xdr:from>
        <xdr:to>
          <xdr:col>8</xdr:col>
          <xdr:colOff>1733550</xdr:colOff>
          <xdr:row>5</xdr:row>
          <xdr:rowOff>107950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13</xdr:row>
      <xdr:rowOff>109914</xdr:rowOff>
    </xdr:from>
    <xdr:to>
      <xdr:col>6</xdr:col>
      <xdr:colOff>95250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2214939"/>
          <a:ext cx="4000500" cy="18331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ga Mukela Faustin - External" refreshedDate="45225.379941435189" createdVersion="8" refreshedVersion="8" minRefreshableVersion="3" recordCount="15" xr:uid="{385830FA-D48E-412C-83CB-DE1592C2744D}">
  <cacheSource type="worksheet">
    <worksheetSource name="Table1"/>
  </cacheSource>
  <cacheFields count="15">
    <cacheField name="Project name" numFmtId="0">
      <sharedItems containsBlank="1" count="13">
        <s v="LIB35"/>
        <s v="NHV13"/>
        <m u="1"/>
        <s v="NHV14" u="1"/>
        <s v="TAK01" u="1"/>
        <s v="RAI08" u="1"/>
        <s v="NHV12" u="1"/>
        <s v="RAI07" u="1"/>
        <s v="NHV09" u="1"/>
        <s v="AER01" u="1"/>
        <s v="NHV11" u="1"/>
        <s v="NHV10" u="1"/>
        <s v="RAI05" u="1"/>
      </sharedItems>
    </cacheField>
    <cacheField name="SAP Code" numFmtId="0">
      <sharedItems containsMixedTypes="1" containsNumber="1" containsInteger="1" minValue="5140203" maxValue="6051006900" count="134">
        <n v="5140203"/>
        <s v="6013528"/>
        <n v="6822339"/>
        <n v="6825021"/>
        <n v="6821278"/>
        <n v="6048641"/>
        <s v="YIE0004817"/>
        <s v="YIE0005411"/>
        <s v="6283364"/>
        <n v="6128679" u="1"/>
        <n v="6823017" u="1"/>
        <n v="6823366" u="1"/>
        <n v="6032513" u="1"/>
        <n v="6056741" u="1"/>
        <n v="6056283" u="1"/>
        <n v="6508818" u="1"/>
        <n v="6823277" u="1"/>
        <n v="6823365" u="1"/>
        <n v="6041030" u="1"/>
        <n v="6822987" u="1"/>
        <n v="6048700" u="1"/>
        <n v="6041222" u="1"/>
        <n v="6823364" u="1"/>
        <n v="6057189" u="1"/>
        <n v="6056767" u="1"/>
        <n v="6404024" u="1"/>
        <n v="6057144" u="1"/>
        <n v="6823624" u="1"/>
        <n v="6016607" u="1"/>
        <n v="6154490" u="1"/>
        <n v="6823929" u="1"/>
        <n v="6501257" u="1"/>
        <n v="6017430" u="1"/>
        <n v="6017454" u="1"/>
        <n v="6203054" u="1"/>
        <n v="6057143" u="1"/>
        <n v="6154489" u="1"/>
        <n v="6509304" u="1"/>
        <n v="6824217" u="1"/>
        <n v="6824225" u="1"/>
        <n v="6017429" u="1"/>
        <n v="6824518" u="1"/>
        <n v="6824389" u="1"/>
        <n v="6034014" u="1"/>
        <n v="6824216" u="1"/>
        <n v="6203016" u="1"/>
        <n v="6050198" u="1"/>
        <n v="5816274" u="1"/>
        <n v="6824585" u="1"/>
        <n v="6542470" u="1"/>
        <n v="6034005" u="1"/>
        <n v="6824223" u="1"/>
        <n v="6824452" u="1"/>
        <n v="6824512" u="1"/>
        <n v="6405012" u="1"/>
        <n v="6825014" u="1"/>
        <n v="6825026" u="1"/>
        <n v="6825030" u="1"/>
        <n v="6074035" u="1"/>
        <n v="6050104" u="1"/>
        <n v="6825110" u="1"/>
        <n v="6405007" u="1"/>
        <n v="6502566" u="1"/>
        <n v="6825109" u="1"/>
        <n v="6824651" u="1"/>
        <n v="6284340" u="1"/>
        <n v="6034007" u="1"/>
        <n v="6825027" u="1"/>
        <n v="6018496" u="1"/>
        <n v="6825111" u="1"/>
        <n v="6051006900" u="1"/>
        <n v="5300845" u="1"/>
        <n v="6204260" u="1"/>
        <n v="6059289" u="1"/>
        <n v="6502912" u="1"/>
        <n v="6019197" u="1"/>
        <n v="6503714" u="1"/>
        <n v="6059287" u="1"/>
        <n v="6503838" u="1"/>
        <n v="6503729" u="1"/>
        <n v="6503741" u="1"/>
        <n v="5704587" u="1"/>
        <n v="6504114" u="1"/>
        <n v="6503652" u="1"/>
        <n v="6503720" u="1"/>
        <n v="6503740" u="1"/>
        <n v="6044406" u="1"/>
        <n v="6503836" u="1"/>
        <n v="6043735" u="1"/>
        <n v="6278321" u="1"/>
        <n v="6044994" u="1"/>
        <n v="6198354" u="1"/>
        <n v="6052949" u="1"/>
        <n v="5504116" u="1"/>
        <n v="6255002" u="1"/>
        <n v="6052916" u="1"/>
        <n v="5811121" u="1"/>
        <n v="6013278" u="1"/>
        <n v="6504980" u="1"/>
        <n v="5303109" u="1"/>
        <n v="6504847" u="1"/>
        <n v="5811055" u="1"/>
        <n v="6013530" u="1"/>
        <n v="5303108" u="1"/>
        <n v="6158316" u="1"/>
        <n v="6505806" u="1"/>
        <n v="6013678" u="1"/>
        <n v="6053865" u="1"/>
        <n v="6013127" u="1"/>
        <n v="6045475" u="1"/>
        <n v="6828798" u="1"/>
        <n v="6053860" u="1"/>
        <n v="6053864" u="1"/>
        <n v="6045639" u="1"/>
        <n v="6828970" u="1"/>
        <n v="6053988" u="1"/>
        <n v="6505948" u="1"/>
        <n v="6159116" u="1"/>
        <n v="6272043" u="1"/>
        <n v="6038324" u="1"/>
        <n v="6272083" u="1"/>
        <n v="6054679" u="1"/>
        <n v="6152221" u="1"/>
        <n v="6192147" u="1"/>
        <n v="6603699" u="1"/>
        <n v="6822137" u="1"/>
        <n v="6604244" u="1"/>
        <n v="6056142" u="1"/>
        <n v="6822606" u="1"/>
        <n v="5813868" u="1"/>
        <n v="6032326" u="1"/>
        <n v="6056570" u="1"/>
        <n v="6153414" u="1"/>
        <n v="6056445" u="1"/>
      </sharedItems>
    </cacheField>
    <cacheField name="Item designation" numFmtId="0">
      <sharedItems containsBlank="1"/>
    </cacheField>
    <cacheField name="Manufacturer name" numFmtId="0">
      <sharedItems containsBlank="1"/>
    </cacheField>
    <cacheField name="Part destination" numFmtId="0">
      <sharedItems containsBlank="1" count="82">
        <m/>
        <s v="NHV13QE01"/>
        <s v="4502915115 - RAI07 M20A QE" u="1"/>
        <s v="4503300474 - KIT FESTO LIB35 M01" u="1"/>
        <s v="4503300880 -BOUT.AUX BASE NHV14 M01" u="1"/>
        <s v="4502915114 - RAI07 M61 QE" u="1"/>
        <s v="4503279711 - NHV14M01BM" u="1"/>
        <s v="4503300880 -KIT TRT AIR NHV14 M03" u="1"/>
        <s v="4503003601 NHV11 QE M02" u="1"/>
        <s v="TAK01M02" u="1"/>
        <s v="NHV13ETH" u="1"/>
        <s v="4503092281 RAI05B PALLETIZER M22" u="1"/>
        <s v="4503128397 NHV12M01QE" u="1"/>
        <s v="4503286583 - LIB35 CABINETS M01" u="1"/>
        <s v="4503300474 - BOUT.AUX LIB35 M02" u="1"/>
        <s v="NHV13QE03" u="1"/>
        <s v="4503003608 NHV11 M02 BM" u="1"/>
        <s v="NHV13QE02" u="1"/>
        <s v="4503092281 RAI05B PALLETIZER M21" u="1"/>
        <s v="4503128397 NHV12M02QE" u="1"/>
        <s v="4503003601 NHV11 QE M03" u="1"/>
        <s v="4502932619 - NHV09M03 BM" u="1"/>
        <s v="450930997 NHV09ETHERNET QE" u="1"/>
        <s v="4503128397 NHV12M03QE" u="1"/>
        <s v="4503003601 NHV11 QE ETHERNET" u="1"/>
        <s v="4502915111 - RAI07 M41 QE" u="1"/>
        <s v="4502973964 NHV10 M03 BM" u="1"/>
        <s v="NHV12 - M01" u="1"/>
        <s v="4503183129 - PROJECT NHV12" u="1"/>
        <s v="4503058654-RAI08 M10B QE-MD12-13-14" u="1"/>
        <s v="NHV12 - M02" u="1"/>
        <s v="4503183412 - PROJECT NHV13" u="1"/>
        <s v="4502915105 - RAI07 M15-16 QE" u="1"/>
        <s v="4503003605 NHV11 M01 BM" u="1"/>
        <s v="4502932618 - NHV09M02 BM" u="1"/>
        <s v="4503279670 - NHV14ETHQE" u="1"/>
        <s v="4503279670 - NHV14M03QE" u="1"/>
        <s v="450930997 NHV09M01QE" u="1"/>
        <s v="450930997 NHV09M02QE" u="1"/>
        <s v="450930997 NHV09M03QE" u="1"/>
        <s v="4503300474 - BOUT.AUX LIB35 M01" u="1"/>
        <s v="4503300880 -KIT TRT AIR NHV14 M01" u="1"/>
        <s v="4502915110 - RAI07 M31 QE" u="1"/>
        <s v="4502915109 - RAI07 M32 QE" u="1"/>
        <s v="4503058657 - RAI08 M10C QE MD15-16" u="1"/>
        <s v="4503058664 - RAI08 M30B QE - MD32" u="1"/>
        <s v="4502932617 - NHV09M01 BM" u="1"/>
        <s v="4503279670 - NHV14M02QE" u="1"/>
        <s v="4502966958 NHV10 QE" u="1"/>
        <s v="4502973959 NHV10 M02 BM" u="1"/>
        <s v="4503058658 - RAI08 M10D QE -MD17-18" u="1"/>
        <s v="4503058673 - RAI08 M40A QE - MD41" u="1"/>
        <s v="4502907567 RAI07 MD11 CASE -BUTTON" u="1"/>
        <s v="4502907567 RAI07 MD14 CASE -BUTTON" u="1"/>
        <s v="4502907567 RAI07 MD17 CASE -BUTTON" u="1"/>
        <s v="4502907567 RAI07 MD21 CASE -BUTTON" u="1"/>
        <s v="4502907567 RAI07 MD31 CASE -BUTTON" u="1"/>
        <s v="4502907567 RAI07 MD32 CASE -BUTTON" u="1"/>
        <s v="4502907567 RAI07 MD41 CASE -BUTTON" u="1"/>
        <s v="4502907567 RAI07 MD61 CASE -BUTTON" u="1"/>
        <s v="TAK01M01" u="1"/>
        <s v="4503279705 - NHV14M03BM" u="1"/>
        <s v="4503279670 - NHV14M01QE" u="1"/>
        <s v="4503128402 NHV12M01BM" u="1"/>
        <s v="4503058670 - RAI08 M30A QE - MD31" u="1"/>
        <s v="4503300880 -BOUT.AUX BASE NHV14 M03" u="1"/>
        <s v="4503058661 - RAI08 M20 QE - MD21" u="1"/>
        <s v="4503286580 - LIB35 M01" u="1"/>
        <s v="4503205097 - BOITIERS X 30" u="1"/>
        <s v="4503286579 - LIB35 M02" u="1"/>
        <s v="4502915106 - RAI07 M17-18 QE" u="1"/>
        <s v="4503128397 NHV12ETHQE" u="1"/>
        <s v="4503286583 - LIB35 CABINETS M02" u="1"/>
        <s v="4503058650 - RAI08 M10A QE - MD11" u="1"/>
        <s v="4503092281 RAI05B PALLETIZER M31" u="1"/>
        <s v="4502973955 NHV10 M01 BM" u="1"/>
        <s v="4503279715 - NHV14M02BM" u="1"/>
        <s v="4503003601 NHV11 QE M01" u="1"/>
        <s v="4503003614 NHV11 M03 BM" u="1"/>
        <s v="4503128414 NHV12M03BM" u="1"/>
        <s v="4502965249 AER01 QE" u="1"/>
        <s v="4503300474 - KIT FESTO LIB35 M02" u="1"/>
      </sharedItems>
    </cacheField>
    <cacheField name="Missing references" numFmtId="0">
      <sharedItems containsBlank="1"/>
    </cacheField>
    <cacheField name="Supplier name" numFmtId="0">
      <sharedItems containsBlank="1"/>
    </cacheField>
    <cacheField name="Confirmed delivery date" numFmtId="164">
      <sharedItems containsNonDate="0" containsDate="1" containsString="0" containsBlank="1" minDate="2024-10-01T00:00:00" maxDate="2024-10-02T00:00:00"/>
    </cacheField>
    <cacheField name="Requirement date" numFmtId="164">
      <sharedItems containsSemiMixedTypes="0" containsNonDate="0" containsDate="1" containsString="0" minDate="2023-08-31T00:00:00" maxDate="2023-12-01T00:00:00"/>
    </cacheField>
    <cacheField name="Bill Of Materials" numFmtId="0">
      <sharedItems containsSemiMixedTypes="0" containsString="0" containsNumber="1" containsInteger="1" minValue="1" maxValue="12"/>
    </cacheField>
    <cacheField name="Stock IAS " numFmtId="0">
      <sharedItems containsString="0" containsBlank="1" containsNumber="1" containsInteger="1" minValue="0" maxValue="107"/>
    </cacheField>
    <cacheField name="Stock central IMA Logistica" numFmtId="1">
      <sharedItems containsSemiMixedTypes="0" containsString="0" containsNumber="1" containsInteger="1" minValue="0" maxValue="1856"/>
    </cacheField>
    <cacheField name="Critical level" numFmtId="0">
      <sharedItems containsString="0" containsBlank="1" containsNumber="1" containsInteger="1" minValue="0" maxValue="3" count="5">
        <m/>
        <n v="2"/>
        <n v="3"/>
        <n v="0" u="1"/>
        <n v="1" u="1"/>
      </sharedItems>
    </cacheField>
    <cacheField name="Category" numFmtId="0">
      <sharedItems containsBlank="1" count="4">
        <m/>
        <s v="PRODUCTION"/>
        <s v="SUPPLY" u="1"/>
        <s v="DELIVERY" u="1"/>
      </sharedItems>
    </cacheField>
    <cacheField name="SUM BOM" numFmtId="1">
      <sharedItems containsSemiMixedTypes="0" containsString="0" containsNumber="1" containsInteg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m/>
    <m/>
    <x v="0"/>
    <m/>
    <m/>
    <d v="2024-10-01T00:00:00"/>
    <d v="2023-11-30T00:00:00"/>
    <n v="1"/>
    <m/>
    <n v="1856"/>
    <x v="0"/>
    <x v="0"/>
    <n v="1"/>
  </r>
  <r>
    <x v="1"/>
    <x v="1"/>
    <s v="WAGO 2010-1301"/>
    <s v="WAGO"/>
    <x v="1"/>
    <s v="==PW-X0"/>
    <s v="IEMA"/>
    <m/>
    <d v="2023-08-31T00:00:00"/>
    <n v="6"/>
    <n v="17"/>
    <n v="104"/>
    <x v="1"/>
    <x v="1"/>
    <n v="10"/>
  </r>
  <r>
    <x v="1"/>
    <x v="2"/>
    <s v="1756-PB72"/>
    <s v="A-B"/>
    <x v="1"/>
    <s v="==IO-T1"/>
    <s v="IEMA"/>
    <m/>
    <d v="2023-08-31T00:00:00"/>
    <n v="1"/>
    <n v="25"/>
    <n v="51"/>
    <x v="1"/>
    <x v="1"/>
    <n v="1"/>
  </r>
  <r>
    <x v="1"/>
    <x v="3"/>
    <s v="BNI007R"/>
    <s v="BALLUFF"/>
    <x v="1"/>
    <s v="==IO-KA10"/>
    <s v="IEMA"/>
    <m/>
    <d v="2023-08-31T00:00:00"/>
    <n v="1"/>
    <n v="50"/>
    <n v="395"/>
    <x v="1"/>
    <x v="1"/>
    <n v="1"/>
  </r>
  <r>
    <x v="1"/>
    <x v="4"/>
    <s v="BNI-EIP-508-005-Z015"/>
    <s v="BALLUFF"/>
    <x v="1"/>
    <s v="==NET-KA1"/>
    <s v="IEMA"/>
    <m/>
    <d v="2023-08-31T00:00:00"/>
    <n v="1"/>
    <n v="107"/>
    <n v="107"/>
    <x v="1"/>
    <x v="1"/>
    <n v="1"/>
  </r>
  <r>
    <x v="1"/>
    <x v="1"/>
    <s v="WAGO 2010-1301"/>
    <s v="WAGO"/>
    <x v="1"/>
    <s v="==PW-X24"/>
    <s v="IEMA"/>
    <m/>
    <d v="2023-08-31T00:00:00"/>
    <n v="4"/>
    <n v="17"/>
    <n v="104"/>
    <x v="1"/>
    <x v="1"/>
    <n v="10"/>
  </r>
  <r>
    <x v="1"/>
    <x v="5"/>
    <s v="2198-D006-ERS4"/>
    <m/>
    <x v="1"/>
    <s v="==13=74-T1"/>
    <s v="IEMA"/>
    <m/>
    <d v="2023-08-31T00:00:00"/>
    <n v="1"/>
    <n v="0"/>
    <n v="10"/>
    <x v="1"/>
    <x v="1"/>
    <n v="6"/>
  </r>
  <r>
    <x v="1"/>
    <x v="5"/>
    <s v="2198-D006-ERS4"/>
    <m/>
    <x v="1"/>
    <s v="==01=274-T1"/>
    <s v="IEMA"/>
    <m/>
    <d v="2023-08-31T00:00:00"/>
    <n v="1"/>
    <n v="0"/>
    <n v="10"/>
    <x v="1"/>
    <x v="1"/>
    <n v="6"/>
  </r>
  <r>
    <x v="1"/>
    <x v="5"/>
    <s v="2198-D006-ERS4"/>
    <m/>
    <x v="1"/>
    <s v="==02=174-T1"/>
    <s v="IEMA"/>
    <m/>
    <d v="2023-08-31T00:00:00"/>
    <n v="1"/>
    <n v="0"/>
    <n v="10"/>
    <x v="1"/>
    <x v="1"/>
    <n v="6"/>
  </r>
  <r>
    <x v="1"/>
    <x v="5"/>
    <s v="2198-D006-ERS4"/>
    <m/>
    <x v="1"/>
    <s v="==22=74-T1"/>
    <s v="IEMA"/>
    <m/>
    <d v="2023-08-31T00:00:00"/>
    <n v="1"/>
    <n v="0"/>
    <n v="10"/>
    <x v="1"/>
    <x v="1"/>
    <n v="6"/>
  </r>
  <r>
    <x v="1"/>
    <x v="5"/>
    <s v="2198-D006-ERS4"/>
    <m/>
    <x v="1"/>
    <s v="==27=274-T1"/>
    <s v="IEMA"/>
    <m/>
    <d v="2023-08-31T00:00:00"/>
    <n v="1"/>
    <n v="0"/>
    <n v="10"/>
    <x v="1"/>
    <x v="1"/>
    <n v="6"/>
  </r>
  <r>
    <x v="1"/>
    <x v="5"/>
    <s v="2198-D006-ERS4"/>
    <m/>
    <x v="1"/>
    <s v="==28=174-T1"/>
    <s v="IEMA"/>
    <m/>
    <d v="2023-08-31T00:00:00"/>
    <n v="1"/>
    <n v="0"/>
    <n v="10"/>
    <x v="1"/>
    <x v="1"/>
    <n v="6"/>
  </r>
  <r>
    <x v="1"/>
    <x v="6"/>
    <s v="POLICARBONATO NHV08 600x1550mm"/>
    <m/>
    <x v="1"/>
    <s v="==IMP=SC"/>
    <s v="IEMA"/>
    <m/>
    <d v="2023-08-31T00:00:00"/>
    <n v="1"/>
    <n v="0"/>
    <n v="0"/>
    <x v="2"/>
    <x v="1"/>
    <n v="1"/>
  </r>
  <r>
    <x v="1"/>
    <x v="7"/>
    <s v="POLICARBONATO NHV08 SC1 600x1550mm"/>
    <m/>
    <x v="1"/>
    <s v="==IMP=SC1"/>
    <s v="IEMA"/>
    <m/>
    <d v="2023-08-31T00:00:00"/>
    <n v="1"/>
    <n v="0"/>
    <n v="0"/>
    <x v="2"/>
    <x v="1"/>
    <n v="1"/>
  </r>
  <r>
    <x v="1"/>
    <x v="8"/>
    <s v="GOLFARE SOLLEVAMENTO SZ:RITTAL 4568000"/>
    <m/>
    <x v="1"/>
    <m/>
    <s v="IEMA"/>
    <m/>
    <d v="2023-08-31T00:00:00"/>
    <n v="12"/>
    <n v="0"/>
    <n v="27"/>
    <x v="1"/>
    <x v="1"/>
    <n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A2782-1F84-457C-ADE2-45B8B5473C24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5:E9" firstHeaderRow="1" firstDataRow="2" firstDataCol="1" rowPageCount="3" colPageCount="1"/>
  <pivotFields count="15">
    <pivotField axis="axisRow" showAll="0">
      <items count="14">
        <item m="1" x="9"/>
        <item x="0"/>
        <item m="1" x="8"/>
        <item m="1" x="11"/>
        <item m="1" x="10"/>
        <item m="1" x="6"/>
        <item x="1"/>
        <item m="1" x="12"/>
        <item m="1" x="7"/>
        <item m="1" x="5"/>
        <item m="1" x="2"/>
        <item m="1" x="3"/>
        <item m="1" x="4"/>
        <item t="default"/>
      </items>
    </pivotField>
    <pivotField axis="axisPage" dataField="1" multipleItemSelectionAllowed="1" showAll="0">
      <items count="135">
        <item m="1" x="71"/>
        <item x="0"/>
        <item x="2"/>
        <item x="3"/>
        <item x="4"/>
        <item x="5"/>
        <item m="1" x="102"/>
        <item m="1" x="85"/>
        <item m="1" x="11"/>
        <item m="1" x="28"/>
        <item m="1" x="50"/>
        <item m="1" x="91"/>
        <item m="1" x="9"/>
        <item m="1" x="98"/>
        <item m="1" x="117"/>
        <item m="1" x="37"/>
        <item m="1" x="114"/>
        <item m="1" x="51"/>
        <item m="1" x="108"/>
        <item m="1" x="39"/>
        <item m="1" x="61"/>
        <item m="1" x="32"/>
        <item m="1" x="54"/>
        <item m="1" x="97"/>
        <item m="1" x="129"/>
        <item m="1" x="96"/>
        <item m="1" x="94"/>
        <item m="1" x="103"/>
        <item m="1" x="99"/>
        <item m="1" x="101"/>
        <item m="1" x="47"/>
        <item m="1" x="81"/>
        <item m="1" x="127"/>
        <item m="1" x="125"/>
        <item m="1" x="23"/>
        <item m="1" x="26"/>
        <item m="1" x="12"/>
        <item m="1" x="118"/>
        <item m="1" x="35"/>
        <item m="1" x="29"/>
        <item m="1" x="22"/>
        <item m="1" x="87"/>
        <item m="1" x="66"/>
        <item m="1" x="90"/>
        <item m="1" x="123"/>
        <item m="1" x="116"/>
        <item m="1" x="44"/>
        <item m="1" x="55"/>
        <item m="1" x="17"/>
        <item m="1" x="45"/>
        <item m="1" x="76"/>
        <item m="1" x="110"/>
        <item m="1" x="41"/>
        <item m="1" x="27"/>
        <item m="1" x="31"/>
        <item m="1" x="112"/>
        <item m="1" x="21"/>
        <item m="1" x="119"/>
        <item m="1" x="59"/>
        <item m="1" x="68"/>
        <item m="1" x="33"/>
        <item m="1" x="92"/>
        <item m="1" x="46"/>
        <item m="1" x="16"/>
        <item m="1" x="74"/>
        <item m="1" x="30"/>
        <item m="1" x="132"/>
        <item m="1" x="107"/>
        <item m="1" x="77"/>
        <item m="1" x="73"/>
        <item m="1" x="36"/>
        <item m="1" x="124"/>
        <item m="1" x="56"/>
        <item m="1" x="100"/>
        <item m="1" x="128"/>
        <item m="1" x="84"/>
        <item m="1" x="130"/>
        <item m="1" x="88"/>
        <item m="1" x="53"/>
        <item m="1" x="113"/>
        <item m="1" x="104"/>
        <item m="1" x="62"/>
        <item m="1" x="57"/>
        <item m="1" x="67"/>
        <item m="1" x="42"/>
        <item m="1" x="126"/>
        <item m="1" x="83"/>
        <item m="1" x="79"/>
        <item m="1" x="34"/>
        <item m="1" x="15"/>
        <item m="1" x="89"/>
        <item m="1" x="93"/>
        <item m="1" x="14"/>
        <item m="1" x="19"/>
        <item m="1" x="72"/>
        <item m="1" x="111"/>
        <item m="1" x="18"/>
        <item m="1" x="20"/>
        <item m="1" x="24"/>
        <item m="1" x="65"/>
        <item m="1" x="78"/>
        <item m="1" x="82"/>
        <item m="1" x="64"/>
        <item m="1" x="86"/>
        <item m="1" x="121"/>
        <item m="1" x="25"/>
        <item m="1" x="105"/>
        <item m="1" x="10"/>
        <item m="1" x="52"/>
        <item m="1" x="48"/>
        <item m="1" x="60"/>
        <item m="1" x="69"/>
        <item m="1" x="95"/>
        <item m="1" x="115"/>
        <item m="1" x="13"/>
        <item m="1" x="120"/>
        <item m="1" x="80"/>
        <item m="1" x="38"/>
        <item m="1" x="133"/>
        <item m="1" x="131"/>
        <item m="1" x="109"/>
        <item m="1" x="63"/>
        <item m="1" x="122"/>
        <item m="1" x="75"/>
        <item m="1" x="58"/>
        <item m="1" x="40"/>
        <item m="1" x="49"/>
        <item m="1" x="106"/>
        <item m="1" x="70"/>
        <item m="1" x="43"/>
        <item x="1"/>
        <item x="6"/>
        <item x="7"/>
        <item x="8"/>
        <item t="default"/>
      </items>
    </pivotField>
    <pivotField showAll="0"/>
    <pivotField showAll="0"/>
    <pivotField axis="axisPage" showAll="0">
      <items count="83">
        <item m="1" x="52"/>
        <item m="1" x="53"/>
        <item m="1" x="54"/>
        <item m="1" x="55"/>
        <item m="1" x="56"/>
        <item m="1" x="57"/>
        <item m="1" x="58"/>
        <item m="1" x="59"/>
        <item m="1" x="32"/>
        <item m="1" x="70"/>
        <item m="1" x="43"/>
        <item m="1" x="42"/>
        <item m="1" x="25"/>
        <item m="1" x="5"/>
        <item m="1" x="2"/>
        <item m="1" x="46"/>
        <item m="1" x="34"/>
        <item m="1" x="21"/>
        <item m="1" x="80"/>
        <item m="1" x="48"/>
        <item m="1" x="75"/>
        <item m="1" x="49"/>
        <item m="1" x="26"/>
        <item m="1" x="24"/>
        <item m="1" x="77"/>
        <item m="1" x="8"/>
        <item m="1" x="20"/>
        <item m="1" x="33"/>
        <item m="1" x="16"/>
        <item m="1" x="78"/>
        <item m="1" x="73"/>
        <item m="1" x="29"/>
        <item m="1" x="44"/>
        <item m="1" x="50"/>
        <item m="1" x="66"/>
        <item m="1" x="45"/>
        <item m="1" x="64"/>
        <item m="1" x="51"/>
        <item m="1" x="18"/>
        <item m="1" x="11"/>
        <item m="1" x="74"/>
        <item m="1" x="71"/>
        <item m="1" x="12"/>
        <item m="1" x="19"/>
        <item m="1" x="23"/>
        <item m="1" x="79"/>
        <item m="1" x="28"/>
        <item m="1" x="68"/>
        <item m="1" x="69"/>
        <item m="1" x="67"/>
        <item m="1" x="13"/>
        <item m="1" x="72"/>
        <item m="1" x="40"/>
        <item m="1" x="14"/>
        <item m="1" x="3"/>
        <item m="1" x="81"/>
        <item m="1" x="22"/>
        <item m="1" x="37"/>
        <item m="1" x="38"/>
        <item m="1" x="39"/>
        <item m="1" x="27"/>
        <item m="1" x="30"/>
        <item x="1"/>
        <item x="0"/>
        <item m="1" x="6"/>
        <item m="1" x="41"/>
        <item m="1" x="4"/>
        <item m="1" x="76"/>
        <item m="1" x="61"/>
        <item m="1" x="7"/>
        <item m="1" x="65"/>
        <item m="1" x="36"/>
        <item m="1" x="35"/>
        <item m="1" x="62"/>
        <item m="1" x="47"/>
        <item m="1" x="17"/>
        <item m="1" x="15"/>
        <item m="1" x="10"/>
        <item m="1" x="60"/>
        <item m="1" x="9"/>
        <item m="1" x="63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3"/>
        <item m="1" x="4"/>
        <item x="1"/>
        <item x="2"/>
        <item x="0"/>
        <item t="default"/>
      </items>
    </pivotField>
    <pivotField axis="axisPage" showAll="0">
      <items count="5">
        <item m="1" x="3"/>
        <item x="1"/>
        <item m="1" x="2"/>
        <item x="0"/>
        <item t="default"/>
      </items>
    </pivotField>
    <pivotField numFmtId="1" showAll="0"/>
  </pivotFields>
  <rowFields count="1">
    <field x="0"/>
  </rowFields>
  <rowItems count="3">
    <i>
      <x v="1"/>
    </i>
    <i>
      <x v="6"/>
    </i>
    <i t="grand">
      <x/>
    </i>
  </rowItems>
  <colFields count="1">
    <field x="12"/>
  </colFields>
  <colItems count="4">
    <i>
      <x v="2"/>
    </i>
    <i>
      <x v="3"/>
    </i>
    <i>
      <x v="4"/>
    </i>
    <i t="grand">
      <x/>
    </i>
  </colItems>
  <pageFields count="3">
    <pageField fld="1" hier="-1"/>
    <pageField fld="13" hier="-1"/>
    <pageField fld="4" hier="-1"/>
  </pageFields>
  <dataFields count="1">
    <dataField name="Nombre d'article" fld="1" subtotal="count" baseField="0" baseItem="0"/>
  </dataFields>
  <chartFormats count="6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614E96-DF07-4694-93FF-0987903899D3}" name="Table1" displayName="Table1" ref="A8:O9" totalsRowShown="0" headerRowDxfId="77" dataDxfId="76" tableBorderDxfId="75" totalsRowBorderDxfId="74" headerRowCellStyle="Total">
  <autoFilter ref="A8:O9" xr:uid="{7E614E96-DF07-4694-93FF-0987903899D3}"/>
  <tableColumns count="15">
    <tableColumn id="1" xr3:uid="{B11B6ACE-5A16-4C05-913A-8312749BC878}" name="Project name" dataDxfId="73"/>
    <tableColumn id="2" xr3:uid="{9C640C70-3E59-4572-ADAF-FFDD33486267}" name="SAP Code" dataDxfId="72"/>
    <tableColumn id="3" xr3:uid="{78163E4E-E367-44AC-A7E4-AC729B2A98A3}" name="Item designation" dataDxfId="71"/>
    <tableColumn id="14" xr3:uid="{4D72F147-B438-4AAE-B29C-D7CCD8D4B6DF}" name="Manufacturer name" dataDxfId="70"/>
    <tableColumn id="4" xr3:uid="{635F2E23-2511-4A70-BACD-CA1A08EA4CC0}" name="Part destination" dataDxfId="69"/>
    <tableColumn id="5" xr3:uid="{F97E9BB0-CDD5-412D-8073-1714DC0F6FF0}" name="Missing references" dataDxfId="68"/>
    <tableColumn id="6" xr3:uid="{5F23F07E-FC08-452A-9270-A9063E7B15A6}" name="Supplier name" dataDxfId="67"/>
    <tableColumn id="7" xr3:uid="{DAB60FD4-F582-4647-AD47-2AE7E1471591}" name="Confirmed delivery date" dataDxfId="66"/>
    <tableColumn id="8" xr3:uid="{957E6B30-6710-4AA0-AFE4-963CF262A900}" name="Requirement date" dataDxfId="65">
      <calculatedColumnFormula>IFERROR(IF(VLOOKUP(A9,Pilotage!F$2:H2264,3,0)="","",VLOOKUP(A9,Pilotage!F$2:H2264,3,0)),"")</calculatedColumnFormula>
    </tableColumn>
    <tableColumn id="9" xr3:uid="{954DE3FC-6624-4B39-83B8-C85D005B0501}" name="Bill Of Materials" dataDxfId="64"/>
    <tableColumn id="10" xr3:uid="{FEB4896C-163A-4FA3-83FE-97184B0A5E3C}" name="Stock IAS " dataDxfId="63"/>
    <tableColumn id="11" xr3:uid="{4DD05BCB-FB68-4E0F-ABED-D9D81FC29244}" name="Stock central IMA Logistica" dataDxfId="62">
      <calculatedColumnFormula>SUMIF('IMA Stock Logistica'!D:D,Table1[[#This Row],[SAP Code]],'IMA Stock Logistica'!F:F)</calculatedColumnFormula>
    </tableColumn>
    <tableColumn id="12" xr3:uid="{687E82FB-1EAB-4E1C-BEAC-362A70DA62DD}" name="Critical level" dataDxfId="61"/>
    <tableColumn id="17" xr3:uid="{082F10CF-7099-4D25-8D0F-7788942824B2}" name="Category" dataDxfId="60"/>
    <tableColumn id="13" xr3:uid="{9AEE2E0C-5F36-4580-B358-24E0F53351ED}" name="SUM BOM" dataDxfId="59">
      <calculatedColumnFormula>SUMIF(B$9:B$9,B9,J$9:J$9)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7E4370-B626-4D47-BA0F-4F5E1084383D}" name="CaseTable" displayName="CaseTable" ref="T8:AO9" totalsRowShown="0" headerRowDxfId="58" dataDxfId="57">
  <autoFilter ref="T8:AO9" xr:uid="{F67E4370-B626-4D47-BA0F-4F5E1084383D}"/>
  <tableColumns count="22">
    <tableColumn id="1" xr3:uid="{D4654BAC-A208-4958-974F-6EB77CBF92F2}" name="0">
      <calculatedColumnFormula>FALSE</calculatedColumnFormula>
    </tableColumn>
    <tableColumn id="2" xr3:uid="{4E896544-A50C-4C45-B613-7C48EE09F936}" name="1" dataDxfId="56" totalsRowDxfId="55">
      <calculatedColumnFormula>OR(CaseTable[[#This Row],[cas1]],CaseTable[[#This Row],[cas3]],CaseTable[[#This Row],[cas9]],CaseTable[[#This Row],[cas11]])</calculatedColumnFormula>
    </tableColumn>
    <tableColumn id="3" xr3:uid="{0400C782-52DE-4568-9FEE-D561F3FEDCB4}" name="2" dataDxfId="54" totalsRowDxfId="53">
      <calculatedColumnFormula>OR(CaseTable[[#This Row],[cas4]],CaseTable[[#This Row],[cas5]],CaseTable[[#This Row],[cas7]],CaseTable[[#This Row],[cas13]],CaseTable[[#This Row],[cas15]])</calculatedColumnFormula>
    </tableColumn>
    <tableColumn id="4" xr3:uid="{9E1600E7-AB6E-4BB4-80C8-050EC42CCEF3}" name="3" dataDxfId="52" totalsRowDxfId="51">
      <calculatedColumnFormula>OR(CaseTable[[#This Row],[cas2]],CaseTable[[#This Row],[cas6]],CaseTable[[#This Row],[cas8]],CaseTable[[#This Row],[cas12]],CaseTable[[#This Row],[cas14]],CaseTable[[#This Row],[cas16]],CaseTable[[#This Row],[cas10]])</calculatedColumnFormula>
    </tableColumn>
    <tableColumn id="5" xr3:uid="{9FC361E6-7418-49E8-8DAA-D6387C68D90A}" name="cas1" dataDxfId="50" totalsRowDxfId="49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calculatedColumnFormula>
    </tableColumn>
    <tableColumn id="6" xr3:uid="{13C64588-952F-4C5A-8955-ED12B0286218}" name="cas2" dataDxfId="48" totalsRowDxfId="47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calculatedColumnFormula>
    </tableColumn>
    <tableColumn id="7" xr3:uid="{78A731BD-9667-4812-B5DB-53BE907EEA47}" name="cas3" dataDxfId="46" totalsRowDxfId="45">
      <calculatedColumnFormula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calculatedColumnFormula>
    </tableColumn>
    <tableColumn id="8" xr3:uid="{9B8C824F-DB06-46B3-9FD5-875A2FC33F26}" name="cas4" dataDxfId="44" totalsRowDxfId="43">
      <calculatedColumnFormula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calculatedColumnFormula>
    </tableColumn>
    <tableColumn id="9" xr3:uid="{D4190EBB-F8A2-42E0-A510-1DEE485586DC}" name="cas5" dataDxfId="42" totalsRowDxfId="41">
      <calculatedColumnFormula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calculatedColumnFormula>
    </tableColumn>
    <tableColumn id="10" xr3:uid="{94226AB6-8C93-44B3-9622-2770729E461A}" name="cas6" dataDxfId="40" totalsRowDxfId="39">
      <calculatedColumnFormula>AND(CaseTable[[#This Row],[cas18]],Table1[[#This Row],[Requirement date]]&lt;&gt;"",Table1[[#This Row],[Requirement date]]&lt;=TODAY(),TODAY()&lt;=Table1[[#This Row],[Confirmed delivery date]],Table1[[#This Row],[Stock central IMA Logistica]]&lt;Table1[[#This Row],[SUM BOM]])</calculatedColumnFormula>
    </tableColumn>
    <tableColumn id="11" xr3:uid="{BDEA285E-B9C8-4890-94CF-E5E21B3C719B}" name="cas7" dataDxfId="38" totalsRowDxfId="37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calculatedColumnFormula>
    </tableColumn>
    <tableColumn id="12" xr3:uid="{681C038E-9C36-494F-AE33-249D56821D23}" name="cas8" dataDxfId="36" totalsRowDxfId="35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calculatedColumnFormula>
    </tableColumn>
    <tableColumn id="13" xr3:uid="{6122A9EE-9344-493D-ADB8-C90E48636FDD}" name="cas9" dataDxfId="34" totalsRowDxfId="33">
      <calculatedColumnFormula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calculatedColumnFormula>
    </tableColumn>
    <tableColumn id="14" xr3:uid="{5930EEDA-6155-4336-8804-0F597253D48D}" name="cas10" dataDxfId="32" totalsRowDxfId="31">
      <calculatedColumnFormula>AND(CaseTable[[#This Row],[cas18]],Table1[[#This Row],[Requirement date]]&lt;&gt;"",Table1[[#This Row],[Confirmed delivery date]]&lt;=TODAY(),TODAY()&lt;=Table1[[#This Row],[Requirement date]],Table1[[#This Row],[Stock central IMA Logistica]]&lt;Table1[[#This Row],[SUM BOM]])</calculatedColumnFormula>
    </tableColumn>
    <tableColumn id="15" xr3:uid="{025E7A45-0743-46B2-8F48-4B93E0ECD1EF}" name="cas11" dataDxfId="30" totalsRowDxfId="29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calculatedColumnFormula>
    </tableColumn>
    <tableColumn id="16" xr3:uid="{A0EB0738-487C-4B2A-ADC6-84386467473D}" name="cas12" dataDxfId="28" totalsRowDxfId="27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calculatedColumnFormula>
    </tableColumn>
    <tableColumn id="17" xr3:uid="{417AF693-B401-4DFC-91DD-A266CE2DB331}" name="cas13" dataDxfId="26" totalsRowDxfId="25">
      <calculatedColumnFormula>AND(Table1[[#This Row],[Confirmed delivery date]]="",Table1[[#This Row],[Requirement date]]&lt;&gt;"",TODAY()&lt;=Table1[[#This Row],[Requirement date]],Table1[[#This Row],[Stock central IMA Logistica]]&gt;=Table1[[#This Row],[SUM BOM]])</calculatedColumnFormula>
    </tableColumn>
    <tableColumn id="18" xr3:uid="{094DA417-283A-42BE-B5E9-E68FA5556AC7}" name="cas14" dataDxfId="24" totalsRowDxfId="23">
      <calculatedColumnFormula>AND(Table1[[#This Row],[Confirmed delivery date]]="",Table1[[#This Row],[Requirement date]]&lt;&gt;"",TODAY()&lt;=Table1[[#This Row],[Requirement date]],Table1[[#This Row],[Stock central IMA Logistica]]&lt;Table1[[#This Row],[SUM BOM]])</calculatedColumnFormula>
    </tableColumn>
    <tableColumn id="19" xr3:uid="{4CC3E089-A04A-409E-BAA8-5C1C4B74AF98}" name="cas15" dataDxfId="22" totalsRowDxfId="21">
      <calculatedColumnFormula>AND(Table1[[#This Row],[Confirmed delivery date]]="",Table1[[#This Row],[Requirement date]]&lt;&gt;"",Table1[[#This Row],[Requirement date]]&lt;=TODAY(),Table1[[#This Row],[Stock central IMA Logistica]]&gt;=Table1[[#This Row],[SUM BOM]])</calculatedColumnFormula>
    </tableColumn>
    <tableColumn id="20" xr3:uid="{738ABFBD-44BD-4B08-A032-D3345DB90385}" name="cas16" dataDxfId="20" totalsRowDxfId="19">
      <calculatedColumnFormula>AND(Table1[[#This Row],[Confirmed delivery date]]="",Table1[[#This Row],[Requirement date]]&lt;&gt;"",Table1[[#This Row],[Requirement date]]&lt;=TODAY(),Table1[[#This Row],[Stock central IMA Logistica]]&lt;Table1[[#This Row],[SUM BOM]])</calculatedColumnFormula>
    </tableColumn>
    <tableColumn id="21" xr3:uid="{01115425-B2F0-4159-B82B-7A52CEF3FB86}" name="cas17" dataDxfId="18" totalsRowDxfId="17">
      <calculatedColumnFormula>AND(Table1[[#This Row],[Requirement date]]="")</calculatedColumnFormula>
    </tableColumn>
    <tableColumn id="22" xr3:uid="{B4C156CB-E3FE-473F-A09D-E87C54303BD6}" name="cas18" dataDxfId="16" totalsRowDxfId="15">
      <calculatedColumnFormula>IFERROR(IF(YEAR(Table1[[#This Row],[Confirmed delivery date]])&gt;1900,TRUE,FALSE),FALSE)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B90691-B509-47BF-9E6F-D2500C552557}" name="UpdateListTable" displayName="UpdateListTable" ref="B2:G158" totalsRowShown="0" headerRowDxfId="10">
  <autoFilter ref="B2:G158" xr:uid="{DAB90691-B509-47BF-9E6F-D2500C552557}"/>
  <tableColumns count="6">
    <tableColumn id="1" xr3:uid="{A00E5792-7A25-4BDA-8157-92D4A647034F}" name="Project name"/>
    <tableColumn id="2" xr3:uid="{C3D4A727-950D-4797-816A-75F8F67D06C4}" name="Type" dataDxfId="9"/>
    <tableColumn id="3" xr3:uid="{E2E8515D-3609-419B-80CC-12DFF3A4BD6B}" name="Destination 1" dataDxfId="8"/>
    <tableColumn id="4" xr3:uid="{4DC8AFD8-FF66-4EEE-A4E1-5430C13ECCB9}" name="Destination 2" dataDxfId="7"/>
    <tableColumn id="5" xr3:uid="{98A2363C-41F7-451B-BCA2-D828DD9EAF09}" name="Category" dataDxfId="6"/>
    <tableColumn id="6" xr3:uid="{28D2F0E4-99FB-470F-B852-D5F95EB72BB6}" name="Latest Updated fil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D8D437-CC44-4934-90AA-4B118F768495}" name="Table2" displayName="Table2" ref="E2:H39" totalsRowShown="0" headerRowDxfId="4" tableBorderDxfId="3">
  <autoFilter ref="E2:H39" xr:uid="{48D8D437-CC44-4934-90AA-4B118F768495}"/>
  <sortState xmlns:xlrd2="http://schemas.microsoft.com/office/spreadsheetml/2017/richdata2" ref="E3:H39">
    <sortCondition ref="F2:F39"/>
  </sortState>
  <tableColumns count="4">
    <tableColumn id="1" xr3:uid="{8E9ED5C3-6164-4722-BF8D-B81755C28616}" name="ShortName" dataDxfId="2"/>
    <tableColumn id="2" xr3:uid="{F0D0DB9D-C2C1-44EE-9F95-C70C7B050C2E}" name="Project Name" dataDxfId="1"/>
    <tableColumn id="3" xr3:uid="{95DCC0C0-CC16-4821-9253-F1D04CB8D556}" name="KM40" dataDxfId="0"/>
    <tableColumn id="4" xr3:uid="{2458D5D3-203E-4D6B-837F-4BBB1ACDAAB1}" name="Date du besoi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../../../auto/Operational_Excellence/Supply/10-Critical_Components/01-Extract_supplier/02-Produc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6EF25-4B74-4586-AF90-D7A70331977A}">
  <sheetPr codeName="Sheet1"/>
  <dimension ref="A1:AO10"/>
  <sheetViews>
    <sheetView tabSelected="1" topLeftCell="B1" zoomScale="76" zoomScaleNormal="76" workbookViewId="0">
      <selection activeCell="E18" sqref="E18"/>
    </sheetView>
  </sheetViews>
  <sheetFormatPr baseColWidth="10" defaultColWidth="9" defaultRowHeight="13.5" x14ac:dyDescent="0.3"/>
  <cols>
    <col min="1" max="1" width="19.61328125" style="1" bestFit="1" customWidth="1"/>
    <col min="2" max="2" width="16.765625" style="1" bestFit="1" customWidth="1"/>
    <col min="3" max="3" width="46.3828125" style="1" customWidth="1"/>
    <col min="4" max="4" width="25.15234375" style="1" bestFit="1" customWidth="1"/>
    <col min="5" max="5" width="21.3828125" style="1" bestFit="1" customWidth="1"/>
    <col min="6" max="6" width="28.61328125" style="1" customWidth="1"/>
    <col min="7" max="7" width="18.4609375" style="1" customWidth="1"/>
    <col min="8" max="8" width="29.3828125" style="2" bestFit="1" customWidth="1"/>
    <col min="9" max="9" width="22.3828125" style="2" customWidth="1"/>
    <col min="10" max="10" width="21.61328125" style="1" bestFit="1" customWidth="1"/>
    <col min="11" max="11" width="17.4609375" style="1" customWidth="1"/>
    <col min="12" max="12" width="32.61328125" style="1" bestFit="1" customWidth="1"/>
    <col min="13" max="13" width="18.84375" style="1" bestFit="1" customWidth="1"/>
    <col min="14" max="14" width="15.4609375" style="1" bestFit="1" customWidth="1"/>
    <col min="15" max="15" width="14.23046875" style="1" customWidth="1"/>
    <col min="16" max="17" width="11.765625" style="1" customWidth="1"/>
    <col min="18" max="18" width="7.15234375" style="1" customWidth="1"/>
    <col min="19" max="19" width="24.765625" style="1" customWidth="1"/>
    <col min="20" max="20" width="7.765625" style="1" hidden="1" customWidth="1"/>
    <col min="21" max="23" width="9.61328125" style="1" hidden="1" customWidth="1"/>
    <col min="24" max="24" width="11.23046875" style="1" hidden="1" customWidth="1"/>
    <col min="25" max="32" width="11.4609375" style="1" hidden="1" customWidth="1"/>
    <col min="33" max="33" width="12.23046875" style="1" hidden="1" customWidth="1"/>
    <col min="34" max="34" width="11.84375" style="1" hidden="1" customWidth="1"/>
    <col min="35" max="40" width="12.23046875" style="1" hidden="1" customWidth="1"/>
    <col min="41" max="41" width="9.3828125" style="1" hidden="1" customWidth="1"/>
    <col min="42" max="16384" width="9" style="1"/>
  </cols>
  <sheetData>
    <row r="1" spans="1:41" ht="36" customHeight="1" thickBot="1" x14ac:dyDescent="0.35">
      <c r="A1" s="72"/>
      <c r="B1" s="72" t="s">
        <v>159</v>
      </c>
      <c r="C1" s="72"/>
      <c r="D1" s="72"/>
      <c r="E1" s="72"/>
      <c r="F1" s="72"/>
      <c r="G1" s="72"/>
      <c r="H1" s="78"/>
      <c r="I1" s="72"/>
      <c r="J1" s="72"/>
      <c r="K1" s="72"/>
      <c r="L1" s="72"/>
      <c r="M1" s="72"/>
      <c r="N1" s="72"/>
      <c r="O1" s="72"/>
      <c r="V1" s="4"/>
    </row>
    <row r="2" spans="1:4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W2"/>
      <c r="X2"/>
    </row>
    <row r="3" spans="1:41" x14ac:dyDescent="0.3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/>
      <c r="Q3"/>
      <c r="R3"/>
      <c r="S3"/>
      <c r="W3" s="61"/>
      <c r="X3" s="9"/>
      <c r="Y3" s="9"/>
    </row>
    <row r="4" spans="1:41" x14ac:dyDescent="0.3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W4" s="61"/>
      <c r="X4" s="9"/>
    </row>
    <row r="5" spans="1:41" x14ac:dyDescent="0.3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W5" s="61"/>
      <c r="X5" s="9"/>
    </row>
    <row r="6" spans="1:41" ht="23.15" customHeight="1" x14ac:dyDescent="0.3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W6" s="61"/>
      <c r="X6" s="9"/>
    </row>
    <row r="7" spans="1:41" ht="17.149999999999999" customHeight="1" x14ac:dyDescent="0.3">
      <c r="A7" s="72"/>
      <c r="B7" s="73"/>
      <c r="C7" s="73"/>
      <c r="D7" s="73"/>
      <c r="E7" s="73"/>
      <c r="F7" s="73"/>
      <c r="G7" s="72"/>
      <c r="H7" s="72"/>
      <c r="I7" s="72"/>
      <c r="J7" s="72"/>
      <c r="K7" s="72"/>
      <c r="L7" s="72"/>
      <c r="M7" s="72"/>
      <c r="N7" s="72"/>
      <c r="O7" s="72"/>
      <c r="X7" s="1">
        <v>1</v>
      </c>
      <c r="Y7" s="1">
        <v>3</v>
      </c>
      <c r="Z7" s="1">
        <v>1</v>
      </c>
      <c r="AA7" s="1">
        <v>2</v>
      </c>
      <c r="AB7" s="1">
        <v>2</v>
      </c>
      <c r="AC7" s="1">
        <v>3</v>
      </c>
      <c r="AD7" s="1">
        <v>2</v>
      </c>
      <c r="AE7" s="1">
        <v>3</v>
      </c>
      <c r="AF7" s="1">
        <v>1</v>
      </c>
      <c r="AG7" s="1">
        <v>3</v>
      </c>
      <c r="AH7" s="1">
        <v>1</v>
      </c>
      <c r="AI7" s="1">
        <v>3</v>
      </c>
      <c r="AJ7" s="1">
        <v>2</v>
      </c>
      <c r="AK7" s="1">
        <v>3</v>
      </c>
      <c r="AL7" s="1">
        <v>2</v>
      </c>
      <c r="AM7" s="1">
        <v>3</v>
      </c>
      <c r="AN7" s="1" t="s">
        <v>292</v>
      </c>
      <c r="AO7" s="1" t="s">
        <v>293</v>
      </c>
    </row>
    <row r="8" spans="1:41" ht="24" customHeight="1" thickBot="1" x14ac:dyDescent="0.35">
      <c r="A8" s="74" t="s">
        <v>222</v>
      </c>
      <c r="B8" s="74" t="s">
        <v>0</v>
      </c>
      <c r="C8" s="74" t="s">
        <v>218</v>
      </c>
      <c r="D8" s="74" t="s">
        <v>219</v>
      </c>
      <c r="E8" s="74" t="s">
        <v>220</v>
      </c>
      <c r="F8" s="74" t="s">
        <v>221</v>
      </c>
      <c r="G8" s="74" t="s">
        <v>223</v>
      </c>
      <c r="H8" s="75" t="s">
        <v>224</v>
      </c>
      <c r="I8" s="75" t="s">
        <v>225</v>
      </c>
      <c r="J8" s="74" t="s">
        <v>48</v>
      </c>
      <c r="K8" s="74" t="s">
        <v>46</v>
      </c>
      <c r="L8" s="74" t="s">
        <v>47</v>
      </c>
      <c r="M8" s="74" t="s">
        <v>229</v>
      </c>
      <c r="N8" s="76" t="s">
        <v>217</v>
      </c>
      <c r="O8" s="77" t="s">
        <v>238</v>
      </c>
      <c r="T8" s="8" t="s">
        <v>294</v>
      </c>
      <c r="U8" s="8" t="s">
        <v>295</v>
      </c>
      <c r="V8" s="8" t="s">
        <v>296</v>
      </c>
      <c r="W8" s="8" t="s">
        <v>297</v>
      </c>
      <c r="X8" s="8" t="s">
        <v>273</v>
      </c>
      <c r="Y8" s="8" t="s">
        <v>275</v>
      </c>
      <c r="Z8" s="8" t="s">
        <v>274</v>
      </c>
      <c r="AA8" s="8" t="s">
        <v>276</v>
      </c>
      <c r="AB8" s="8" t="s">
        <v>277</v>
      </c>
      <c r="AC8" s="8" t="s">
        <v>278</v>
      </c>
      <c r="AD8" s="8" t="s">
        <v>279</v>
      </c>
      <c r="AE8" s="8" t="s">
        <v>280</v>
      </c>
      <c r="AF8" s="8" t="s">
        <v>281</v>
      </c>
      <c r="AG8" s="8" t="s">
        <v>282</v>
      </c>
      <c r="AH8" s="8" t="s">
        <v>283</v>
      </c>
      <c r="AI8" s="8" t="s">
        <v>284</v>
      </c>
      <c r="AJ8" s="8" t="s">
        <v>285</v>
      </c>
      <c r="AK8" s="8" t="s">
        <v>286</v>
      </c>
      <c r="AL8" s="8" t="s">
        <v>287</v>
      </c>
      <c r="AM8" s="8" t="s">
        <v>288</v>
      </c>
      <c r="AN8" s="8" t="s">
        <v>289</v>
      </c>
      <c r="AO8" s="8" t="s">
        <v>291</v>
      </c>
    </row>
    <row r="9" spans="1:41" ht="24.75" hidden="1" customHeight="1" thickTop="1" x14ac:dyDescent="0.3">
      <c r="A9" s="22" t="s">
        <v>79</v>
      </c>
      <c r="B9" s="10">
        <v>5140203</v>
      </c>
      <c r="C9" s="10"/>
      <c r="D9" s="10"/>
      <c r="E9" s="13"/>
      <c r="F9" s="10"/>
      <c r="G9" s="10"/>
      <c r="H9" s="11">
        <v>45566</v>
      </c>
      <c r="I9" s="33">
        <f>IFERROR(IF(VLOOKUP(A9,Pilotage!F$2:H2264,3,0)="","",VLOOKUP(A9,Pilotage!F$2:H2264,3,0)),"")</f>
        <v>45260</v>
      </c>
      <c r="J9" s="10">
        <v>1</v>
      </c>
      <c r="K9" s="10"/>
      <c r="L9" s="34">
        <f>SUMIF('IMA Stock Logistica'!D:D,Table1[[#This Row],[SAP Code]],'IMA Stock Logistica'!F:F)</f>
        <v>1856</v>
      </c>
      <c r="M9" s="48"/>
      <c r="N9" s="49"/>
      <c r="O9" s="29">
        <f>SUMIF(B$9:B$9,B9,J$9:J$9)</f>
        <v>1</v>
      </c>
      <c r="T9" s="8" t="b">
        <f>FALSE</f>
        <v>0</v>
      </c>
      <c r="U9" s="8" t="b">
        <f ca="1">OR(CaseTable[[#This Row],[cas1]],CaseTable[[#This Row],[cas3]],CaseTable[[#This Row],[cas9]],CaseTable[[#This Row],[cas11]])</f>
        <v>1</v>
      </c>
      <c r="V9" s="8" t="b">
        <f ca="1">OR(CaseTable[[#This Row],[cas4]],CaseTable[[#This Row],[cas5]],CaseTable[[#This Row],[cas7]],CaseTable[[#This Row],[cas13]],CaseTable[[#This Row],[cas15]])</f>
        <v>0</v>
      </c>
      <c r="W9" s="8" t="b">
        <f ca="1">OR(CaseTable[[#This Row],[cas2]],CaseTable[[#This Row],[cas6]],CaseTable[[#This Row],[cas8]],CaseTable[[#This Row],[cas12]],CaseTable[[#This Row],[cas14]],CaseTable[[#This Row],[cas16]],CaseTable[[#This Row],[cas10]])</f>
        <v>0</v>
      </c>
      <c r="X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f>
        <v>1</v>
      </c>
      <c r="Y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f>
        <v>0</v>
      </c>
      <c r="Z9" s="1" t="b">
        <f ca="1"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f>
        <v>0</v>
      </c>
      <c r="AA9" s="1" t="b">
        <f ca="1"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f>
        <v>0</v>
      </c>
      <c r="AB9" s="1" t="b">
        <f ca="1"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f>
        <v>0</v>
      </c>
      <c r="AC9" s="1" t="b">
        <f ca="1">AND(CaseTable[[#This Row],[cas18]],Table1[[#This Row],[Requirement date]]&lt;&gt;"",Table1[[#This Row],[Requirement date]]&lt;=TODAY(),TODAY()&lt;=Table1[[#This Row],[Confirmed delivery date]],Table1[[#This Row],[Stock central IMA Logistica]]&lt;Table1[[#This Row],[SUM BOM]])</f>
        <v>0</v>
      </c>
      <c r="AD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f>
        <v>0</v>
      </c>
      <c r="AE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f>
        <v>0</v>
      </c>
      <c r="AF9" s="1" t="b">
        <f ca="1"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f>
        <v>0</v>
      </c>
      <c r="AG9" s="1" t="b">
        <f ca="1">AND(CaseTable[[#This Row],[cas18]],Table1[[#This Row],[Requirement date]]&lt;&gt;"",Table1[[#This Row],[Confirmed delivery date]]&lt;=TODAY(),TODAY()&lt;=Table1[[#This Row],[Requirement date]],Table1[[#This Row],[Stock central IMA Logistica]]&lt;Table1[[#This Row],[SUM BOM]])</f>
        <v>0</v>
      </c>
      <c r="AH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f>
        <v>0</v>
      </c>
      <c r="AI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f>
        <v>0</v>
      </c>
      <c r="AJ9" s="1" t="b">
        <f ca="1">AND(Table1[[#This Row],[Confirmed delivery date]]="",Table1[[#This Row],[Requirement date]]&lt;&gt;"",TODAY()&lt;=Table1[[#This Row],[Requirement date]],Table1[[#This Row],[Stock central IMA Logistica]]&gt;=Table1[[#This Row],[SUM BOM]])</f>
        <v>0</v>
      </c>
      <c r="AK9" s="1" t="b">
        <f ca="1">AND(Table1[[#This Row],[Confirmed delivery date]]="",Table1[[#This Row],[Requirement date]]&lt;&gt;"",TODAY()&lt;=Table1[[#This Row],[Requirement date]],Table1[[#This Row],[Stock central IMA Logistica]]&lt;Table1[[#This Row],[SUM BOM]])</f>
        <v>0</v>
      </c>
      <c r="AL9" s="1" t="b">
        <f ca="1">AND(Table1[[#This Row],[Confirmed delivery date]]="",Table1[[#This Row],[Requirement date]]&lt;&gt;"",Table1[[#This Row],[Requirement date]]&lt;=TODAY(),Table1[[#This Row],[Stock central IMA Logistica]]&gt;=Table1[[#This Row],[SUM BOM]])</f>
        <v>0</v>
      </c>
      <c r="AM9" s="1" t="b">
        <f ca="1">AND(Table1[[#This Row],[Confirmed delivery date]]="",Table1[[#This Row],[Requirement date]]&lt;&gt;"",Table1[[#This Row],[Requirement date]]&lt;=TODAY(),Table1[[#This Row],[Stock central IMA Logistica]]&lt;Table1[[#This Row],[SUM BOM]])</f>
        <v>0</v>
      </c>
      <c r="AN9" s="1" t="b">
        <f>AND(Table1[[#This Row],[Requirement date]]="")</f>
        <v>0</v>
      </c>
      <c r="AO9" s="1" t="b">
        <f>IFERROR(IF(YEAR(Table1[[#This Row],[Confirmed delivery date]])&gt;1900,TRUE,FALSE),FALSE)</f>
        <v>1</v>
      </c>
    </row>
    <row r="10" spans="1:41" ht="14" thickTop="1" x14ac:dyDescent="0.3"/>
  </sheetData>
  <phoneticPr fontId="2" type="noConversion"/>
  <dataValidations disablePrompts="1" count="1">
    <dataValidation type="date" operator="lessThanOrEqual" allowBlank="1" showInputMessage="1" showErrorMessage="1" sqref="K3" xr:uid="{19C04F1F-6699-4E92-95E8-62D351B55572}">
      <formula1>45189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ommandButton2">
          <controlPr defaultSize="0" autoLine="0" autoPict="0" r:id="rId5">
            <anchor moveWithCells="1">
              <from>
                <xdr:col>5</xdr:col>
                <xdr:colOff>1771650</xdr:colOff>
                <xdr:row>0</xdr:row>
                <xdr:rowOff>298450</xdr:rowOff>
              </from>
              <to>
                <xdr:col>6</xdr:col>
                <xdr:colOff>1403350</xdr:colOff>
                <xdr:row>2</xdr:row>
                <xdr:rowOff>152400</xdr:rowOff>
              </to>
            </anchor>
          </controlPr>
        </control>
      </mc:Choice>
      <mc:Fallback>
        <control shapeId="2057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3</xdr:col>
                <xdr:colOff>203200</xdr:colOff>
                <xdr:row>0</xdr:row>
                <xdr:rowOff>336550</xdr:rowOff>
              </from>
              <to>
                <xdr:col>3</xdr:col>
                <xdr:colOff>1828800</xdr:colOff>
                <xdr:row>2</xdr:row>
                <xdr:rowOff>165100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3" r:id="rId8" name="SUPPLY">
          <controlPr defaultSize="0" autoLine="0" r:id="rId9">
            <anchor moveWithCells="1">
              <from>
                <xdr:col>2</xdr:col>
                <xdr:colOff>882650</xdr:colOff>
                <xdr:row>0</xdr:row>
                <xdr:rowOff>152400</xdr:rowOff>
              </from>
              <to>
                <xdr:col>2</xdr:col>
                <xdr:colOff>2336800</xdr:colOff>
                <xdr:row>1</xdr:row>
                <xdr:rowOff>19050</xdr:rowOff>
              </to>
            </anchor>
          </controlPr>
        </control>
      </mc:Choice>
      <mc:Fallback>
        <control shapeId="2053" r:id="rId8" name="SUPPLY"/>
      </mc:Fallback>
    </mc:AlternateContent>
    <mc:AlternateContent xmlns:mc="http://schemas.openxmlformats.org/markup-compatibility/2006">
      <mc:Choice Requires="x14">
        <control shapeId="2055" r:id="rId10" name="Production">
          <controlPr defaultSize="0" autoLine="0" r:id="rId11">
            <anchor moveWithCells="1">
              <from>
                <xdr:col>2</xdr:col>
                <xdr:colOff>882650</xdr:colOff>
                <xdr:row>2</xdr:row>
                <xdr:rowOff>44450</xdr:rowOff>
              </from>
              <to>
                <xdr:col>2</xdr:col>
                <xdr:colOff>2336800</xdr:colOff>
                <xdr:row>4</xdr:row>
                <xdr:rowOff>25400</xdr:rowOff>
              </to>
            </anchor>
          </controlPr>
        </control>
      </mc:Choice>
      <mc:Fallback>
        <control shapeId="2055" r:id="rId10" name="Production"/>
      </mc:Fallback>
    </mc:AlternateContent>
    <mc:AlternateContent xmlns:mc="http://schemas.openxmlformats.org/markup-compatibility/2006">
      <mc:Choice Requires="x14">
        <control shapeId="2056" r:id="rId12" name="DELIVERY">
          <controlPr defaultSize="0" autoLine="0" r:id="rId13">
            <anchor moveWithCells="1">
              <from>
                <xdr:col>2</xdr:col>
                <xdr:colOff>882650</xdr:colOff>
                <xdr:row>5</xdr:row>
                <xdr:rowOff>44450</xdr:rowOff>
              </from>
              <to>
                <xdr:col>2</xdr:col>
                <xdr:colOff>2336800</xdr:colOff>
                <xdr:row>6</xdr:row>
                <xdr:rowOff>82550</xdr:rowOff>
              </to>
            </anchor>
          </controlPr>
        </control>
      </mc:Choice>
      <mc:Fallback>
        <control shapeId="2056" r:id="rId12" name="DELIVERY"/>
      </mc:Fallback>
    </mc:AlternateContent>
    <mc:AlternateContent xmlns:mc="http://schemas.openxmlformats.org/markup-compatibility/2006">
      <mc:Choice Requires="x14">
        <control shapeId="2052" r:id="rId14" name="Button 4">
          <controlPr defaultSize="0" print="0" autoFill="0" autoPict="0" macro="[0]!Bouton4_Cliquer">
            <anchor moveWithCells="1" sizeWithCells="1">
              <from>
                <xdr:col>4</xdr:col>
                <xdr:colOff>1181100</xdr:colOff>
                <xdr:row>0</xdr:row>
                <xdr:rowOff>336550</xdr:rowOff>
              </from>
              <to>
                <xdr:col>5</xdr:col>
                <xdr:colOff>1079500</xdr:colOff>
                <xdr:row>2</xdr:row>
                <xdr:rowOff>146050</xdr:rowOff>
              </to>
            </anchor>
          </controlPr>
        </control>
      </mc:Choice>
    </mc:AlternateContent>
  </controls>
  <tableParts count="2"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011C4-3377-4F2B-A8B9-7F9ACE0C4DD7}">
  <sheetPr codeName="Feuil3"/>
  <dimension ref="A1:E41"/>
  <sheetViews>
    <sheetView zoomScale="92" zoomScaleNormal="92" workbookViewId="0">
      <selection activeCell="G23" sqref="G23"/>
    </sheetView>
  </sheetViews>
  <sheetFormatPr baseColWidth="10" defaultColWidth="11" defaultRowHeight="13.5" x14ac:dyDescent="0.3"/>
  <cols>
    <col min="1" max="1" width="16.23046875" bestFit="1" customWidth="1"/>
    <col min="2" max="2" width="16.61328125" bestFit="1" customWidth="1"/>
    <col min="3" max="3" width="2.3828125" bestFit="1" customWidth="1"/>
    <col min="4" max="4" width="8" bestFit="1" customWidth="1"/>
    <col min="5" max="5" width="11.61328125" bestFit="1" customWidth="1"/>
    <col min="6" max="6" width="8" bestFit="1" customWidth="1"/>
    <col min="7" max="7" width="11.61328125" bestFit="1" customWidth="1"/>
    <col min="8" max="120" width="9" bestFit="1" customWidth="1"/>
    <col min="121" max="121" width="12.3828125" bestFit="1" customWidth="1"/>
    <col min="122" max="137" width="9" bestFit="1" customWidth="1"/>
    <col min="138" max="142" width="9.15234375" bestFit="1" customWidth="1"/>
    <col min="143" max="154" width="9" bestFit="1" customWidth="1"/>
    <col min="155" max="160" width="9.15234375" bestFit="1" customWidth="1"/>
    <col min="161" max="188" width="9" bestFit="1" customWidth="1"/>
    <col min="189" max="193" width="9.15234375" bestFit="1" customWidth="1"/>
    <col min="194" max="197" width="9" bestFit="1" customWidth="1"/>
    <col min="198" max="198" width="12.3828125" bestFit="1" customWidth="1"/>
    <col min="199" max="356" width="9" bestFit="1" customWidth="1"/>
    <col min="357" max="358" width="11.61328125" bestFit="1" customWidth="1"/>
    <col min="359" max="361" width="12.15234375" bestFit="1" customWidth="1"/>
    <col min="362" max="362" width="13" bestFit="1" customWidth="1"/>
    <col min="363" max="363" width="10.15234375" bestFit="1" customWidth="1"/>
    <col min="364" max="372" width="9" bestFit="1" customWidth="1"/>
    <col min="373" max="377" width="9.15234375" bestFit="1" customWidth="1"/>
    <col min="378" max="380" width="9" bestFit="1" customWidth="1"/>
    <col min="381" max="384" width="9.15234375" bestFit="1" customWidth="1"/>
    <col min="385" max="386" width="9" bestFit="1" customWidth="1"/>
    <col min="387" max="389" width="12.3828125" bestFit="1" customWidth="1"/>
    <col min="390" max="430" width="9" bestFit="1" customWidth="1"/>
    <col min="431" max="431" width="7.84375" bestFit="1" customWidth="1"/>
    <col min="432" max="435" width="9" bestFit="1" customWidth="1"/>
    <col min="436" max="436" width="9.15234375" bestFit="1" customWidth="1"/>
    <col min="437" max="492" width="9" bestFit="1" customWidth="1"/>
    <col min="493" max="494" width="9.15234375" bestFit="1" customWidth="1"/>
    <col min="495" max="496" width="11.23046875" bestFit="1" customWidth="1"/>
    <col min="497" max="508" width="12.15234375" bestFit="1" customWidth="1"/>
    <col min="509" max="519" width="9" bestFit="1" customWidth="1"/>
    <col min="520" max="520" width="12.15234375" bestFit="1" customWidth="1"/>
    <col min="521" max="521" width="16.84375" bestFit="1" customWidth="1"/>
    <col min="522" max="525" width="9" bestFit="1" customWidth="1"/>
    <col min="526" max="526" width="9.15234375" bestFit="1" customWidth="1"/>
    <col min="527" max="527" width="12.15234375" bestFit="1" customWidth="1"/>
    <col min="528" max="528" width="7.84375" bestFit="1" customWidth="1"/>
    <col min="529" max="535" width="9" bestFit="1" customWidth="1"/>
    <col min="536" max="538" width="9.15234375" bestFit="1" customWidth="1"/>
    <col min="539" max="547" width="9" bestFit="1" customWidth="1"/>
    <col min="548" max="549" width="12.3828125" bestFit="1" customWidth="1"/>
    <col min="550" max="550" width="9" bestFit="1" customWidth="1"/>
    <col min="551" max="551" width="11.61328125" bestFit="1" customWidth="1"/>
    <col min="552" max="552" width="12.15234375" bestFit="1" customWidth="1"/>
    <col min="553" max="559" width="13.3828125" bestFit="1" customWidth="1"/>
    <col min="560" max="563" width="9" bestFit="1" customWidth="1"/>
    <col min="564" max="564" width="9.15234375" bestFit="1" customWidth="1"/>
    <col min="565" max="566" width="9" bestFit="1" customWidth="1"/>
    <col min="567" max="568" width="9.15234375" bestFit="1" customWidth="1"/>
    <col min="569" max="569" width="12.15234375" bestFit="1" customWidth="1"/>
    <col min="570" max="570" width="12.84375" bestFit="1" customWidth="1"/>
    <col min="571" max="571" width="2.23046875" bestFit="1" customWidth="1"/>
    <col min="572" max="572" width="9.15234375" bestFit="1" customWidth="1"/>
    <col min="573" max="573" width="12.84375" bestFit="1" customWidth="1"/>
    <col min="574" max="574" width="19.3828125" bestFit="1" customWidth="1"/>
    <col min="575" max="692" width="9" bestFit="1" customWidth="1"/>
    <col min="693" max="693" width="12.3828125" bestFit="1" customWidth="1"/>
    <col min="694" max="709" width="9" bestFit="1" customWidth="1"/>
    <col min="710" max="714" width="9.15234375" bestFit="1" customWidth="1"/>
    <col min="715" max="726" width="9" bestFit="1" customWidth="1"/>
    <col min="727" max="732" width="9.15234375" bestFit="1" customWidth="1"/>
    <col min="733" max="760" width="9" bestFit="1" customWidth="1"/>
    <col min="761" max="765" width="9.15234375" bestFit="1" customWidth="1"/>
    <col min="766" max="769" width="9" bestFit="1" customWidth="1"/>
    <col min="770" max="770" width="12.3828125" bestFit="1" customWidth="1"/>
    <col min="771" max="928" width="9" bestFit="1" customWidth="1"/>
    <col min="929" max="930" width="11.61328125" bestFit="1" customWidth="1"/>
    <col min="931" max="933" width="12.15234375" bestFit="1" customWidth="1"/>
    <col min="934" max="934" width="13" bestFit="1" customWidth="1"/>
    <col min="935" max="935" width="10.15234375" bestFit="1" customWidth="1"/>
    <col min="936" max="944" width="9" bestFit="1" customWidth="1"/>
    <col min="945" max="949" width="9.15234375" bestFit="1" customWidth="1"/>
    <col min="950" max="952" width="9" bestFit="1" customWidth="1"/>
    <col min="953" max="956" width="9.15234375" bestFit="1" customWidth="1"/>
    <col min="957" max="958" width="9" bestFit="1" customWidth="1"/>
    <col min="959" max="961" width="12.3828125" bestFit="1" customWidth="1"/>
    <col min="962" max="1002" width="9" bestFit="1" customWidth="1"/>
    <col min="1003" max="1003" width="7.84375" bestFit="1" customWidth="1"/>
    <col min="1004" max="1007" width="9" bestFit="1" customWidth="1"/>
    <col min="1008" max="1008" width="9.15234375" bestFit="1" customWidth="1"/>
    <col min="1009" max="1064" width="9" bestFit="1" customWidth="1"/>
    <col min="1065" max="1066" width="9.15234375" bestFit="1" customWidth="1"/>
    <col min="1067" max="1068" width="11.23046875" bestFit="1" customWidth="1"/>
    <col min="1069" max="1080" width="12.15234375" bestFit="1" customWidth="1"/>
    <col min="1081" max="1091" width="9" bestFit="1" customWidth="1"/>
    <col min="1092" max="1092" width="12.15234375" bestFit="1" customWidth="1"/>
    <col min="1093" max="1093" width="16.84375" bestFit="1" customWidth="1"/>
    <col min="1094" max="1097" width="9" bestFit="1" customWidth="1"/>
    <col min="1098" max="1098" width="9.15234375" bestFit="1" customWidth="1"/>
    <col min="1099" max="1099" width="12.15234375" bestFit="1" customWidth="1"/>
    <col min="1100" max="1100" width="7.84375" bestFit="1" customWidth="1"/>
    <col min="1101" max="1107" width="9" bestFit="1" customWidth="1"/>
    <col min="1108" max="1110" width="9.15234375" bestFit="1" customWidth="1"/>
    <col min="1111" max="1119" width="9" bestFit="1" customWidth="1"/>
    <col min="1120" max="1121" width="12.3828125" bestFit="1" customWidth="1"/>
    <col min="1122" max="1122" width="9" bestFit="1" customWidth="1"/>
    <col min="1123" max="1123" width="11.61328125" bestFit="1" customWidth="1"/>
    <col min="1124" max="1124" width="12.15234375" bestFit="1" customWidth="1"/>
    <col min="1125" max="1131" width="13.3828125" bestFit="1" customWidth="1"/>
    <col min="1132" max="1135" width="9" bestFit="1" customWidth="1"/>
    <col min="1136" max="1136" width="9.15234375" bestFit="1" customWidth="1"/>
    <col min="1137" max="1138" width="9" bestFit="1" customWidth="1"/>
    <col min="1139" max="1140" width="9.15234375" bestFit="1" customWidth="1"/>
    <col min="1141" max="1141" width="12.15234375" bestFit="1" customWidth="1"/>
    <col min="1142" max="1142" width="12.84375" bestFit="1" customWidth="1"/>
    <col min="1143" max="1143" width="2.23046875" bestFit="1" customWidth="1"/>
    <col min="1144" max="1144" width="9.15234375" bestFit="1" customWidth="1"/>
    <col min="1145" max="1145" width="12.84375" bestFit="1" customWidth="1"/>
    <col min="1146" max="1146" width="21.4609375" bestFit="1" customWidth="1"/>
    <col min="1147" max="1147" width="24.4609375" bestFit="1" customWidth="1"/>
  </cols>
  <sheetData>
    <row r="1" spans="1:5" x14ac:dyDescent="0.3">
      <c r="A1" s="12" t="s">
        <v>0</v>
      </c>
      <c r="B1" t="s">
        <v>319</v>
      </c>
    </row>
    <row r="2" spans="1:5" x14ac:dyDescent="0.3">
      <c r="A2" s="12" t="s">
        <v>217</v>
      </c>
      <c r="B2" t="s">
        <v>319</v>
      </c>
    </row>
    <row r="3" spans="1:5" x14ac:dyDescent="0.3">
      <c r="A3" s="12" t="s">
        <v>220</v>
      </c>
      <c r="B3" t="s">
        <v>319</v>
      </c>
    </row>
    <row r="5" spans="1:5" x14ac:dyDescent="0.3">
      <c r="A5" s="12" t="s">
        <v>80</v>
      </c>
      <c r="B5" s="12" t="s">
        <v>315</v>
      </c>
    </row>
    <row r="6" spans="1:5" x14ac:dyDescent="0.3">
      <c r="A6" s="12" t="s">
        <v>316</v>
      </c>
      <c r="B6">
        <v>2</v>
      </c>
      <c r="C6">
        <v>3</v>
      </c>
      <c r="D6" t="s">
        <v>317</v>
      </c>
      <c r="E6" t="s">
        <v>318</v>
      </c>
    </row>
    <row r="7" spans="1:5" x14ac:dyDescent="0.3">
      <c r="A7" s="28" t="s">
        <v>79</v>
      </c>
      <c r="D7">
        <v>1</v>
      </c>
      <c r="E7">
        <v>1</v>
      </c>
    </row>
    <row r="8" spans="1:5" x14ac:dyDescent="0.3">
      <c r="A8" s="28" t="s">
        <v>83</v>
      </c>
      <c r="B8">
        <v>12</v>
      </c>
      <c r="C8">
        <v>2</v>
      </c>
      <c r="E8">
        <v>14</v>
      </c>
    </row>
    <row r="9" spans="1:5" x14ac:dyDescent="0.3">
      <c r="A9" s="28" t="s">
        <v>318</v>
      </c>
      <c r="B9">
        <v>12</v>
      </c>
      <c r="C9">
        <v>2</v>
      </c>
      <c r="D9">
        <v>1</v>
      </c>
      <c r="E9">
        <v>15</v>
      </c>
    </row>
    <row r="41" spans="1:1" x14ac:dyDescent="0.3">
      <c r="A41" t="s">
        <v>159</v>
      </c>
    </row>
  </sheetData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B9FF3-3149-4BBC-987B-FE176241B118}">
  <sheetPr codeName="Sheet7"/>
  <dimension ref="D1:S1634"/>
  <sheetViews>
    <sheetView topLeftCell="D1" workbookViewId="0">
      <selection activeCell="L2" sqref="L2"/>
    </sheetView>
  </sheetViews>
  <sheetFormatPr baseColWidth="10" defaultColWidth="9" defaultRowHeight="13.5" x14ac:dyDescent="0.3"/>
  <cols>
    <col min="1" max="1" width="9.765625" bestFit="1" customWidth="1"/>
    <col min="2" max="2" width="10.84375" bestFit="1" customWidth="1"/>
    <col min="3" max="3" width="3.765625" bestFit="1" customWidth="1"/>
    <col min="4" max="4" width="9.23046875"/>
    <col min="5" max="5" width="4.84375" bestFit="1" customWidth="1"/>
    <col min="6" max="6" width="9.84375" bestFit="1" customWidth="1"/>
    <col min="7" max="8" width="8.4609375" bestFit="1" customWidth="1"/>
    <col min="9" max="9" width="6.15234375" customWidth="1"/>
    <col min="10" max="11" width="9.15234375" bestFit="1" customWidth="1"/>
    <col min="12" max="12" width="5.765625" bestFit="1" customWidth="1"/>
    <col min="13" max="13" width="4.15234375" bestFit="1" customWidth="1"/>
    <col min="14" max="19" width="9.23046875"/>
    <col min="20" max="21" width="9.3828125" bestFit="1" customWidth="1"/>
    <col min="22" max="23" width="10.765625" bestFit="1" customWidth="1"/>
    <col min="24" max="25" width="14.3828125" bestFit="1" customWidth="1"/>
    <col min="26" max="26" width="6.4609375" bestFit="1" customWidth="1"/>
    <col min="27" max="27" width="3.23046875" bestFit="1" customWidth="1"/>
    <col min="28" max="28" width="3.15234375" bestFit="1" customWidth="1"/>
    <col min="29" max="29" width="4.23046875" bestFit="1" customWidth="1"/>
    <col min="30" max="31" width="11.15234375" bestFit="1" customWidth="1"/>
    <col min="32" max="32" width="5.23046875" bestFit="1" customWidth="1"/>
    <col min="33" max="33" width="3.84375" bestFit="1" customWidth="1"/>
    <col min="34" max="34" width="42.61328125" bestFit="1" customWidth="1"/>
  </cols>
  <sheetData>
    <row r="1" spans="4:19" x14ac:dyDescent="0.3">
      <c r="D1" t="s">
        <v>40</v>
      </c>
      <c r="F1" t="s">
        <v>322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41</v>
      </c>
    </row>
    <row r="2" spans="4:19" x14ac:dyDescent="0.3">
      <c r="D2">
        <v>7849</v>
      </c>
      <c r="F2">
        <f>SUMIF(N2:S2,"&gt;=0")</f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4:19" x14ac:dyDescent="0.3">
      <c r="D3">
        <v>2690043</v>
      </c>
      <c r="F3">
        <f t="shared" ref="F3:F66" si="0">SUMIF(N3:S3,"&gt;=0")</f>
        <v>100</v>
      </c>
      <c r="N3">
        <v>100</v>
      </c>
      <c r="O3">
        <v>0</v>
      </c>
      <c r="P3">
        <v>0</v>
      </c>
      <c r="Q3">
        <v>0</v>
      </c>
      <c r="R3">
        <v>0</v>
      </c>
      <c r="S3">
        <v>0</v>
      </c>
    </row>
    <row r="4" spans="4:19" x14ac:dyDescent="0.3">
      <c r="D4">
        <v>2690063</v>
      </c>
      <c r="F4">
        <f t="shared" si="0"/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4:19" x14ac:dyDescent="0.3">
      <c r="D5">
        <v>2690070</v>
      </c>
      <c r="F5">
        <f t="shared" si="0"/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4:19" x14ac:dyDescent="0.3">
      <c r="D6">
        <v>2691270</v>
      </c>
      <c r="F6">
        <f t="shared" si="0"/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4:19" x14ac:dyDescent="0.3">
      <c r="D7">
        <v>2692000</v>
      </c>
      <c r="F7">
        <f t="shared" si="0"/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4:19" x14ac:dyDescent="0.3">
      <c r="D8">
        <v>2692063</v>
      </c>
      <c r="F8">
        <f t="shared" si="0"/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4:19" x14ac:dyDescent="0.3">
      <c r="D9">
        <v>2692064</v>
      </c>
      <c r="F9">
        <f t="shared" si="0"/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4:19" x14ac:dyDescent="0.3">
      <c r="D10">
        <v>2692065</v>
      </c>
      <c r="F10">
        <f t="shared" si="0"/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4:19" x14ac:dyDescent="0.3">
      <c r="D11">
        <v>2692066</v>
      </c>
      <c r="F11">
        <f t="shared" si="0"/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4:19" x14ac:dyDescent="0.3">
      <c r="D12">
        <v>2692101</v>
      </c>
      <c r="F12">
        <f t="shared" si="0"/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4:19" x14ac:dyDescent="0.3">
      <c r="D13">
        <v>2692400</v>
      </c>
      <c r="F13">
        <f t="shared" si="0"/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4:19" x14ac:dyDescent="0.3">
      <c r="D14">
        <v>2692401</v>
      </c>
      <c r="F14">
        <f t="shared" si="0"/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4:19" x14ac:dyDescent="0.3">
      <c r="D15">
        <v>2692403</v>
      </c>
      <c r="F15">
        <f t="shared" si="0"/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4:19" x14ac:dyDescent="0.3">
      <c r="D16">
        <v>2692404</v>
      </c>
      <c r="F16">
        <f t="shared" si="0"/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4:19" x14ac:dyDescent="0.3">
      <c r="D17">
        <v>2692461</v>
      </c>
      <c r="F17">
        <f t="shared" si="0"/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4:19" x14ac:dyDescent="0.3">
      <c r="D18">
        <v>2692776</v>
      </c>
      <c r="F18">
        <f t="shared" si="0"/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4:19" x14ac:dyDescent="0.3">
      <c r="D19">
        <v>2695009</v>
      </c>
      <c r="F19">
        <f t="shared" si="0"/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4:19" x14ac:dyDescent="0.3">
      <c r="D20">
        <v>320003</v>
      </c>
      <c r="F20">
        <f t="shared" si="0"/>
        <v>100</v>
      </c>
      <c r="N20">
        <v>0</v>
      </c>
      <c r="O20">
        <v>0</v>
      </c>
      <c r="P20">
        <v>0</v>
      </c>
      <c r="Q20">
        <v>0</v>
      </c>
      <c r="R20">
        <v>0</v>
      </c>
      <c r="S20">
        <v>100</v>
      </c>
    </row>
    <row r="21" spans="4:19" x14ac:dyDescent="0.3">
      <c r="D21">
        <v>320504</v>
      </c>
      <c r="F21">
        <f t="shared" si="0"/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4:19" x14ac:dyDescent="0.3">
      <c r="D22">
        <v>5140203</v>
      </c>
      <c r="F22">
        <f t="shared" si="0"/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4:19" x14ac:dyDescent="0.3">
      <c r="D23">
        <v>5300051</v>
      </c>
      <c r="F23">
        <f t="shared" si="0"/>
        <v>5</v>
      </c>
      <c r="N23">
        <v>0</v>
      </c>
      <c r="O23">
        <v>0</v>
      </c>
      <c r="P23">
        <v>0</v>
      </c>
      <c r="Q23">
        <v>0</v>
      </c>
      <c r="R23">
        <v>0</v>
      </c>
      <c r="S23">
        <v>5</v>
      </c>
    </row>
    <row r="24" spans="4:19" x14ac:dyDescent="0.3">
      <c r="D24">
        <v>5300824</v>
      </c>
      <c r="F24">
        <f t="shared" si="0"/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4:19" x14ac:dyDescent="0.3">
      <c r="D25">
        <v>5320034</v>
      </c>
      <c r="F25">
        <f t="shared" si="0"/>
        <v>13934</v>
      </c>
      <c r="N25" s="3">
        <v>10000</v>
      </c>
      <c r="O25">
        <v>0</v>
      </c>
      <c r="P25">
        <v>0</v>
      </c>
      <c r="Q25">
        <v>0</v>
      </c>
      <c r="R25">
        <v>0</v>
      </c>
      <c r="S25" s="3">
        <v>3934</v>
      </c>
    </row>
    <row r="26" spans="4:19" x14ac:dyDescent="0.3">
      <c r="D26">
        <v>5320037</v>
      </c>
      <c r="F26">
        <f t="shared" si="0"/>
        <v>5275</v>
      </c>
      <c r="N26" s="3">
        <v>4984</v>
      </c>
      <c r="O26">
        <v>0</v>
      </c>
      <c r="P26">
        <v>0</v>
      </c>
      <c r="Q26">
        <v>0</v>
      </c>
      <c r="R26">
        <v>0</v>
      </c>
      <c r="S26">
        <v>291</v>
      </c>
    </row>
    <row r="27" spans="4:19" x14ac:dyDescent="0.3">
      <c r="D27">
        <v>5380187</v>
      </c>
      <c r="F27">
        <f t="shared" si="0"/>
        <v>2178</v>
      </c>
      <c r="N27" s="3">
        <v>2000</v>
      </c>
      <c r="O27">
        <v>0</v>
      </c>
      <c r="P27">
        <v>0</v>
      </c>
      <c r="Q27">
        <v>0</v>
      </c>
      <c r="R27">
        <v>0</v>
      </c>
      <c r="S27">
        <v>178</v>
      </c>
    </row>
    <row r="28" spans="4:19" x14ac:dyDescent="0.3">
      <c r="D28">
        <v>5380580</v>
      </c>
      <c r="F28">
        <f t="shared" si="0"/>
        <v>51</v>
      </c>
      <c r="N28">
        <v>0</v>
      </c>
      <c r="O28">
        <v>0</v>
      </c>
      <c r="P28">
        <v>0</v>
      </c>
      <c r="Q28">
        <v>0</v>
      </c>
      <c r="R28">
        <v>0</v>
      </c>
      <c r="S28">
        <v>51</v>
      </c>
    </row>
    <row r="29" spans="4:19" x14ac:dyDescent="0.3">
      <c r="D29">
        <v>5380581</v>
      </c>
      <c r="F29">
        <f t="shared" si="0"/>
        <v>22</v>
      </c>
      <c r="N29">
        <v>0</v>
      </c>
      <c r="O29">
        <v>0</v>
      </c>
      <c r="P29">
        <v>0</v>
      </c>
      <c r="Q29">
        <v>0</v>
      </c>
      <c r="R29">
        <v>0</v>
      </c>
      <c r="S29">
        <v>22</v>
      </c>
    </row>
    <row r="30" spans="4:19" x14ac:dyDescent="0.3">
      <c r="D30">
        <v>5380584</v>
      </c>
      <c r="F30">
        <f t="shared" si="0"/>
        <v>114</v>
      </c>
      <c r="N30">
        <v>0</v>
      </c>
      <c r="O30">
        <v>0</v>
      </c>
      <c r="P30">
        <v>0</v>
      </c>
      <c r="Q30">
        <v>0</v>
      </c>
      <c r="R30">
        <v>0</v>
      </c>
      <c r="S30">
        <v>114</v>
      </c>
    </row>
    <row r="31" spans="4:19" x14ac:dyDescent="0.3">
      <c r="D31">
        <v>5380586</v>
      </c>
      <c r="F31">
        <f t="shared" si="0"/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4:19" x14ac:dyDescent="0.3">
      <c r="D32">
        <v>5380609</v>
      </c>
      <c r="F32">
        <f t="shared" si="0"/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4:19" x14ac:dyDescent="0.3">
      <c r="D33">
        <v>5381816000</v>
      </c>
      <c r="F33">
        <f t="shared" si="0"/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4:19" x14ac:dyDescent="0.3">
      <c r="D34">
        <v>5381816600</v>
      </c>
      <c r="F34">
        <f t="shared" si="0"/>
        <v>393</v>
      </c>
      <c r="N34">
        <v>0</v>
      </c>
      <c r="O34">
        <v>0</v>
      </c>
      <c r="P34">
        <v>0</v>
      </c>
      <c r="Q34">
        <v>0</v>
      </c>
      <c r="R34">
        <v>0</v>
      </c>
      <c r="S34">
        <v>393</v>
      </c>
    </row>
    <row r="35" spans="4:19" x14ac:dyDescent="0.3">
      <c r="D35">
        <v>5500053</v>
      </c>
      <c r="F35">
        <f t="shared" si="0"/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4:19" x14ac:dyDescent="0.3">
      <c r="D36">
        <v>5500220</v>
      </c>
      <c r="F36">
        <f t="shared" si="0"/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4:19" x14ac:dyDescent="0.3">
      <c r="D37">
        <v>5810976</v>
      </c>
      <c r="F37">
        <f t="shared" si="0"/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4:19" x14ac:dyDescent="0.3">
      <c r="D38">
        <v>5811035</v>
      </c>
      <c r="F38">
        <f t="shared" si="0"/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4:19" x14ac:dyDescent="0.3">
      <c r="D39">
        <v>5811055</v>
      </c>
      <c r="F39">
        <f t="shared" si="0"/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4:19" x14ac:dyDescent="0.3">
      <c r="D40">
        <v>5811121</v>
      </c>
      <c r="F40">
        <f t="shared" si="0"/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4:19" x14ac:dyDescent="0.3">
      <c r="D41">
        <v>5812312</v>
      </c>
      <c r="F41">
        <f t="shared" si="0"/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</row>
    <row r="42" spans="4:19" x14ac:dyDescent="0.3">
      <c r="D42">
        <v>5813026</v>
      </c>
      <c r="F42">
        <f t="shared" si="0"/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4:19" x14ac:dyDescent="0.3">
      <c r="D43" t="s">
        <v>178</v>
      </c>
      <c r="F43">
        <f t="shared" si="0"/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4:19" x14ac:dyDescent="0.3">
      <c r="D44">
        <v>5935582</v>
      </c>
      <c r="F44">
        <f t="shared" si="0"/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4:19" x14ac:dyDescent="0.3">
      <c r="D45">
        <v>6012123</v>
      </c>
      <c r="F45">
        <f t="shared" si="0"/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</row>
    <row r="46" spans="4:19" x14ac:dyDescent="0.3">
      <c r="D46" s="80">
        <v>6.0099999999999998E+307</v>
      </c>
      <c r="F46">
        <f t="shared" si="0"/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4:19" x14ac:dyDescent="0.3">
      <c r="D47">
        <v>6050104</v>
      </c>
      <c r="F47">
        <f t="shared" si="0"/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4:19" x14ac:dyDescent="0.3">
      <c r="D48">
        <v>6051006900</v>
      </c>
      <c r="F48">
        <f t="shared" si="0"/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4:19" x14ac:dyDescent="0.3">
      <c r="D49">
        <v>6051007000</v>
      </c>
      <c r="F49">
        <f t="shared" si="0"/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4:19" x14ac:dyDescent="0.3">
      <c r="D50">
        <v>6052667</v>
      </c>
      <c r="F50">
        <f t="shared" si="0"/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4:19" x14ac:dyDescent="0.3">
      <c r="D51">
        <v>6056972</v>
      </c>
      <c r="F51">
        <f t="shared" si="0"/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4:19" x14ac:dyDescent="0.3">
      <c r="D52">
        <v>6057501</v>
      </c>
      <c r="F52">
        <f t="shared" si="0"/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4:19" x14ac:dyDescent="0.3">
      <c r="D53">
        <v>6059918</v>
      </c>
      <c r="F53">
        <f t="shared" si="0"/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4:19" x14ac:dyDescent="0.3">
      <c r="D54" t="s">
        <v>181</v>
      </c>
      <c r="F54">
        <f t="shared" si="0"/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4:19" x14ac:dyDescent="0.3">
      <c r="D55">
        <v>6124265</v>
      </c>
      <c r="F55">
        <f t="shared" si="0"/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4:19" x14ac:dyDescent="0.3">
      <c r="D56">
        <v>6124299</v>
      </c>
      <c r="F56">
        <f t="shared" si="0"/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4:19" x14ac:dyDescent="0.3">
      <c r="D57">
        <v>6124316</v>
      </c>
      <c r="F57">
        <f t="shared" si="0"/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4:19" x14ac:dyDescent="0.3">
      <c r="D58">
        <v>6128679</v>
      </c>
      <c r="F58">
        <f t="shared" si="0"/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4:19" x14ac:dyDescent="0.3">
      <c r="D59">
        <v>6144110</v>
      </c>
      <c r="F59">
        <f t="shared" si="0"/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4:19" x14ac:dyDescent="0.3">
      <c r="D60">
        <v>6144111</v>
      </c>
      <c r="F60">
        <f t="shared" si="0"/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4:19" x14ac:dyDescent="0.3">
      <c r="D61">
        <v>6150330</v>
      </c>
      <c r="F61">
        <f t="shared" si="0"/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4:19" x14ac:dyDescent="0.3">
      <c r="D62">
        <v>6150332</v>
      </c>
      <c r="F62">
        <f t="shared" si="0"/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4:19" x14ac:dyDescent="0.3">
      <c r="D63">
        <v>6159116</v>
      </c>
      <c r="F63">
        <f t="shared" si="0"/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4:19" x14ac:dyDescent="0.3">
      <c r="D64">
        <v>6164204</v>
      </c>
      <c r="F64">
        <f t="shared" si="0"/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4:19" x14ac:dyDescent="0.3">
      <c r="D65">
        <v>6164214</v>
      </c>
      <c r="F65">
        <f t="shared" si="0"/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4:19" x14ac:dyDescent="0.3">
      <c r="D66">
        <v>6164228</v>
      </c>
      <c r="F66">
        <f t="shared" si="0"/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4:19" x14ac:dyDescent="0.3">
      <c r="D67">
        <v>6164235</v>
      </c>
      <c r="F67">
        <f t="shared" ref="F67:F130" si="1">SUMIF(N67:S67,"&gt;=0")</f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4:19" x14ac:dyDescent="0.3">
      <c r="D68">
        <v>6164239</v>
      </c>
      <c r="F68">
        <f t="shared" si="1"/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4:19" x14ac:dyDescent="0.3">
      <c r="D69">
        <v>6168384</v>
      </c>
      <c r="F69">
        <f t="shared" si="1"/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4:19" x14ac:dyDescent="0.3">
      <c r="D70">
        <v>6182353</v>
      </c>
      <c r="F70">
        <f t="shared" si="1"/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4:19" x14ac:dyDescent="0.3">
      <c r="D71">
        <v>6252051</v>
      </c>
      <c r="F71">
        <f t="shared" si="1"/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4:19" x14ac:dyDescent="0.3">
      <c r="D72">
        <v>6501254</v>
      </c>
      <c r="F72">
        <f t="shared" si="1"/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4:19" x14ac:dyDescent="0.3">
      <c r="D73">
        <v>6501257</v>
      </c>
      <c r="F73">
        <f t="shared" si="1"/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4:19" x14ac:dyDescent="0.3">
      <c r="D74">
        <v>6505977</v>
      </c>
      <c r="F74">
        <f t="shared" si="1"/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4:19" x14ac:dyDescent="0.3">
      <c r="D75">
        <v>6509198</v>
      </c>
      <c r="F75">
        <f t="shared" si="1"/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4:19" x14ac:dyDescent="0.3">
      <c r="D76">
        <v>6509304</v>
      </c>
      <c r="F76">
        <f t="shared" si="1"/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4:19" x14ac:dyDescent="0.3">
      <c r="D77">
        <v>6600301</v>
      </c>
      <c r="F77">
        <f t="shared" si="1"/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4:19" x14ac:dyDescent="0.3">
      <c r="D78">
        <v>6602190</v>
      </c>
      <c r="F78">
        <f t="shared" si="1"/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4:19" x14ac:dyDescent="0.3">
      <c r="D79">
        <v>6821327</v>
      </c>
      <c r="F79">
        <f t="shared" si="1"/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4:19" x14ac:dyDescent="0.3">
      <c r="D80">
        <v>6822339</v>
      </c>
      <c r="F80">
        <f t="shared" si="1"/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4:19" x14ac:dyDescent="0.3">
      <c r="D81">
        <v>6828970</v>
      </c>
      <c r="F81">
        <f t="shared" si="1"/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4:19" x14ac:dyDescent="0.3">
      <c r="D82" t="s">
        <v>173</v>
      </c>
      <c r="F82">
        <f t="shared" si="1"/>
        <v>88</v>
      </c>
      <c r="N82">
        <v>0</v>
      </c>
      <c r="O82">
        <v>0</v>
      </c>
      <c r="P82">
        <v>0</v>
      </c>
      <c r="Q82">
        <v>0</v>
      </c>
      <c r="R82">
        <v>0</v>
      </c>
      <c r="S82">
        <v>88</v>
      </c>
    </row>
    <row r="83" spans="4:19" x14ac:dyDescent="0.3">
      <c r="D83" t="s">
        <v>31</v>
      </c>
      <c r="F83">
        <f t="shared" si="1"/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4:19" x14ac:dyDescent="0.3">
      <c r="D84" t="s">
        <v>32</v>
      </c>
      <c r="F84">
        <f t="shared" si="1"/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4:19" x14ac:dyDescent="0.3">
      <c r="D85" t="s">
        <v>174</v>
      </c>
      <c r="F85">
        <f t="shared" si="1"/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4:19" x14ac:dyDescent="0.3">
      <c r="D86" t="s">
        <v>175</v>
      </c>
      <c r="F86">
        <f t="shared" si="1"/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4:19" x14ac:dyDescent="0.3">
      <c r="D87" t="s">
        <v>17</v>
      </c>
      <c r="F87">
        <f t="shared" si="1"/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4:19" x14ac:dyDescent="0.3">
      <c r="D88" t="s">
        <v>37</v>
      </c>
      <c r="F88">
        <f t="shared" si="1"/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4:19" x14ac:dyDescent="0.3">
      <c r="D89" t="s">
        <v>18</v>
      </c>
      <c r="F89">
        <f t="shared" si="1"/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4:19" x14ac:dyDescent="0.3">
      <c r="D90">
        <v>2690043</v>
      </c>
      <c r="F90">
        <f t="shared" si="1"/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4:19" x14ac:dyDescent="0.3">
      <c r="D91">
        <v>2690063</v>
      </c>
      <c r="F91">
        <f t="shared" si="1"/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4:19" x14ac:dyDescent="0.3">
      <c r="D92">
        <v>5381816000</v>
      </c>
      <c r="F92">
        <f t="shared" si="1"/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4:19" x14ac:dyDescent="0.3">
      <c r="D93">
        <v>6051006400</v>
      </c>
      <c r="F93">
        <f t="shared" si="1"/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4:19" x14ac:dyDescent="0.3">
      <c r="D94">
        <v>6051006500</v>
      </c>
      <c r="F94">
        <f t="shared" si="1"/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4:19" x14ac:dyDescent="0.3">
      <c r="D95">
        <v>6051006900</v>
      </c>
      <c r="F95">
        <f t="shared" si="1"/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4:19" x14ac:dyDescent="0.3">
      <c r="D96">
        <v>6051007000</v>
      </c>
      <c r="F96">
        <f t="shared" si="1"/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4:19" x14ac:dyDescent="0.3">
      <c r="D97">
        <v>7849</v>
      </c>
      <c r="F97">
        <f t="shared" si="1"/>
        <v>115</v>
      </c>
      <c r="N97">
        <v>115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4:19" x14ac:dyDescent="0.3">
      <c r="D98">
        <v>2690043</v>
      </c>
      <c r="F98">
        <f t="shared" si="1"/>
        <v>3590.2</v>
      </c>
      <c r="N98" s="3">
        <v>3590.2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4:19" x14ac:dyDescent="0.3">
      <c r="D99">
        <v>2690063</v>
      </c>
      <c r="F99">
        <f t="shared" si="1"/>
        <v>215</v>
      </c>
      <c r="N99">
        <v>215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4:19" x14ac:dyDescent="0.3">
      <c r="D100">
        <v>2690070</v>
      </c>
      <c r="F100">
        <f t="shared" si="1"/>
        <v>1544.2</v>
      </c>
      <c r="N100" s="3">
        <v>1544.2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4:19" x14ac:dyDescent="0.3">
      <c r="D101">
        <v>2691270</v>
      </c>
      <c r="F101">
        <f t="shared" si="1"/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4:19" x14ac:dyDescent="0.3">
      <c r="D102">
        <v>2692000</v>
      </c>
      <c r="F102">
        <f t="shared" si="1"/>
        <v>263.5</v>
      </c>
      <c r="N102">
        <v>263.5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4:19" x14ac:dyDescent="0.3">
      <c r="D103">
        <v>2692063</v>
      </c>
      <c r="F103">
        <f t="shared" si="1"/>
        <v>300</v>
      </c>
      <c r="N103">
        <v>300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4:19" x14ac:dyDescent="0.3">
      <c r="D104">
        <v>2692064</v>
      </c>
      <c r="F104">
        <f t="shared" si="1"/>
        <v>420</v>
      </c>
      <c r="N104">
        <v>420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4:19" x14ac:dyDescent="0.3">
      <c r="D105">
        <v>2692065</v>
      </c>
      <c r="F105">
        <f t="shared" si="1"/>
        <v>324</v>
      </c>
      <c r="N105">
        <v>324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4:19" x14ac:dyDescent="0.3">
      <c r="D106">
        <v>2692066</v>
      </c>
      <c r="F106">
        <f t="shared" si="1"/>
        <v>145</v>
      </c>
      <c r="N106">
        <v>145</v>
      </c>
      <c r="O106">
        <v>0</v>
      </c>
      <c r="P106">
        <v>0</v>
      </c>
      <c r="Q106">
        <v>0</v>
      </c>
      <c r="R106">
        <v>0</v>
      </c>
      <c r="S106">
        <v>0</v>
      </c>
    </row>
    <row r="107" spans="4:19" x14ac:dyDescent="0.3">
      <c r="D107">
        <v>2692101</v>
      </c>
      <c r="F107">
        <f t="shared" si="1"/>
        <v>297</v>
      </c>
      <c r="N107">
        <v>297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4:19" x14ac:dyDescent="0.3">
      <c r="D108">
        <v>2692400</v>
      </c>
      <c r="F108">
        <f t="shared" si="1"/>
        <v>211</v>
      </c>
      <c r="N108">
        <v>211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4:19" x14ac:dyDescent="0.3">
      <c r="D109">
        <v>2692401</v>
      </c>
      <c r="F109">
        <f t="shared" si="1"/>
        <v>1190</v>
      </c>
      <c r="N109" s="3">
        <v>1190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4:19" x14ac:dyDescent="0.3">
      <c r="D110">
        <v>2692403</v>
      </c>
      <c r="F110">
        <f t="shared" si="1"/>
        <v>356.5</v>
      </c>
      <c r="N110">
        <v>356.5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4:19" x14ac:dyDescent="0.3">
      <c r="D111">
        <v>2692404</v>
      </c>
      <c r="F111">
        <f t="shared" si="1"/>
        <v>600</v>
      </c>
      <c r="N111">
        <v>600</v>
      </c>
      <c r="O111">
        <v>0</v>
      </c>
      <c r="P111">
        <v>0</v>
      </c>
      <c r="Q111">
        <v>0</v>
      </c>
      <c r="R111">
        <v>0</v>
      </c>
      <c r="S111">
        <v>0</v>
      </c>
    </row>
    <row r="112" spans="4:19" x14ac:dyDescent="0.3">
      <c r="D112">
        <v>2692461</v>
      </c>
      <c r="F112">
        <f t="shared" si="1"/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4:19" x14ac:dyDescent="0.3">
      <c r="D113">
        <v>2692768</v>
      </c>
      <c r="F113">
        <f t="shared" si="1"/>
        <v>650</v>
      </c>
      <c r="N113">
        <v>650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4:19" x14ac:dyDescent="0.3">
      <c r="D114">
        <v>2692772</v>
      </c>
      <c r="F114">
        <f t="shared" si="1"/>
        <v>200</v>
      </c>
      <c r="N114">
        <v>200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4:19" x14ac:dyDescent="0.3">
      <c r="D115">
        <v>2692773</v>
      </c>
      <c r="F115">
        <f t="shared" si="1"/>
        <v>230</v>
      </c>
      <c r="N115">
        <v>230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4:19" x14ac:dyDescent="0.3">
      <c r="D116">
        <v>2692774</v>
      </c>
      <c r="F116">
        <f t="shared" si="1"/>
        <v>400</v>
      </c>
      <c r="N116">
        <v>400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4:19" x14ac:dyDescent="0.3">
      <c r="D117">
        <v>2692775</v>
      </c>
      <c r="F117">
        <f t="shared" si="1"/>
        <v>90</v>
      </c>
      <c r="N117">
        <v>90</v>
      </c>
      <c r="O117">
        <v>0</v>
      </c>
      <c r="P117">
        <v>0</v>
      </c>
      <c r="Q117">
        <v>0</v>
      </c>
      <c r="R117">
        <v>0</v>
      </c>
      <c r="S117">
        <v>0</v>
      </c>
    </row>
    <row r="118" spans="4:19" x14ac:dyDescent="0.3">
      <c r="D118">
        <v>2692776</v>
      </c>
      <c r="F118">
        <f t="shared" si="1"/>
        <v>100</v>
      </c>
      <c r="N118">
        <v>100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4:19" x14ac:dyDescent="0.3">
      <c r="D119">
        <v>2694126</v>
      </c>
      <c r="F119">
        <f t="shared" si="1"/>
        <v>80</v>
      </c>
      <c r="N119">
        <v>80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4:19" x14ac:dyDescent="0.3">
      <c r="D120">
        <v>2695009</v>
      </c>
      <c r="F120">
        <f t="shared" si="1"/>
        <v>500</v>
      </c>
      <c r="N120">
        <v>100</v>
      </c>
      <c r="O120">
        <v>400</v>
      </c>
      <c r="P120">
        <v>0</v>
      </c>
      <c r="Q120">
        <v>0</v>
      </c>
      <c r="R120">
        <v>0</v>
      </c>
      <c r="S120">
        <v>0</v>
      </c>
    </row>
    <row r="121" spans="4:19" x14ac:dyDescent="0.3">
      <c r="D121">
        <v>2695010</v>
      </c>
      <c r="F121">
        <f t="shared" si="1"/>
        <v>200</v>
      </c>
      <c r="N121">
        <v>200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4:19" x14ac:dyDescent="0.3">
      <c r="D122">
        <v>320003</v>
      </c>
      <c r="F122">
        <f t="shared" si="1"/>
        <v>9121</v>
      </c>
      <c r="N122" s="3">
        <v>9121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4:19" x14ac:dyDescent="0.3">
      <c r="D123">
        <v>320504</v>
      </c>
      <c r="F123">
        <f t="shared" si="1"/>
        <v>3371</v>
      </c>
      <c r="N123" s="3">
        <v>3371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4:19" x14ac:dyDescent="0.3">
      <c r="D124">
        <v>5140203</v>
      </c>
      <c r="F124">
        <f t="shared" si="1"/>
        <v>1856</v>
      </c>
      <c r="N124" s="3">
        <v>1856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4:19" x14ac:dyDescent="0.3">
      <c r="D125">
        <v>5142823</v>
      </c>
      <c r="F125">
        <f t="shared" si="1"/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4:19" x14ac:dyDescent="0.3">
      <c r="D126">
        <v>5300051</v>
      </c>
      <c r="F126">
        <f t="shared" si="1"/>
        <v>629</v>
      </c>
      <c r="N126">
        <v>629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4:19" x14ac:dyDescent="0.3">
      <c r="D127">
        <v>5300416</v>
      </c>
      <c r="F127">
        <f t="shared" si="1"/>
        <v>75</v>
      </c>
      <c r="N127">
        <v>40</v>
      </c>
      <c r="O127">
        <v>35</v>
      </c>
      <c r="P127">
        <v>0</v>
      </c>
      <c r="Q127">
        <v>0</v>
      </c>
      <c r="R127">
        <v>0</v>
      </c>
      <c r="S127">
        <v>0</v>
      </c>
    </row>
    <row r="128" spans="4:19" x14ac:dyDescent="0.3">
      <c r="D128">
        <v>5300610</v>
      </c>
      <c r="F128">
        <f t="shared" si="1"/>
        <v>229</v>
      </c>
      <c r="N128">
        <v>229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4:19" x14ac:dyDescent="0.3">
      <c r="D129">
        <v>5300824</v>
      </c>
      <c r="F129">
        <f t="shared" si="1"/>
        <v>322</v>
      </c>
      <c r="N129">
        <v>322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4:19" x14ac:dyDescent="0.3">
      <c r="D130">
        <v>5300826</v>
      </c>
      <c r="F130">
        <f t="shared" si="1"/>
        <v>685</v>
      </c>
      <c r="N130">
        <v>685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4:19" x14ac:dyDescent="0.3">
      <c r="D131">
        <v>5300845</v>
      </c>
      <c r="F131">
        <f t="shared" ref="F131:F194" si="2">SUMIF(N131:S131,"&gt;=0")</f>
        <v>796</v>
      </c>
      <c r="N131">
        <v>796</v>
      </c>
      <c r="O131">
        <v>0</v>
      </c>
      <c r="P131">
        <v>0</v>
      </c>
      <c r="Q131">
        <v>0</v>
      </c>
      <c r="R131">
        <v>0</v>
      </c>
      <c r="S131">
        <v>0</v>
      </c>
    </row>
    <row r="132" spans="4:19" x14ac:dyDescent="0.3">
      <c r="D132">
        <v>5303108</v>
      </c>
      <c r="F132">
        <f t="shared" si="2"/>
        <v>108</v>
      </c>
      <c r="N132">
        <v>108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4:19" x14ac:dyDescent="0.3">
      <c r="D133">
        <v>5303109</v>
      </c>
      <c r="F133">
        <f t="shared" si="2"/>
        <v>27</v>
      </c>
      <c r="N133">
        <v>27</v>
      </c>
      <c r="O133">
        <v>0</v>
      </c>
      <c r="P133">
        <v>0</v>
      </c>
      <c r="Q133">
        <v>0</v>
      </c>
      <c r="R133">
        <v>0</v>
      </c>
      <c r="S133">
        <v>0</v>
      </c>
    </row>
    <row r="134" spans="4:19" x14ac:dyDescent="0.3">
      <c r="D134">
        <v>5305915</v>
      </c>
      <c r="F134">
        <f t="shared" si="2"/>
        <v>420</v>
      </c>
      <c r="N134">
        <v>210</v>
      </c>
      <c r="O134">
        <v>210</v>
      </c>
      <c r="P134">
        <v>0</v>
      </c>
      <c r="Q134">
        <v>0</v>
      </c>
      <c r="R134">
        <v>0</v>
      </c>
      <c r="S134">
        <v>0</v>
      </c>
    </row>
    <row r="135" spans="4:19" x14ac:dyDescent="0.3">
      <c r="D135">
        <v>5306213</v>
      </c>
      <c r="F135">
        <f t="shared" si="2"/>
        <v>12</v>
      </c>
      <c r="N135">
        <v>12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4:19" x14ac:dyDescent="0.3">
      <c r="D136">
        <v>5306848</v>
      </c>
      <c r="F136">
        <f t="shared" si="2"/>
        <v>46</v>
      </c>
      <c r="N136">
        <v>46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4:19" x14ac:dyDescent="0.3">
      <c r="D137">
        <v>5306849</v>
      </c>
      <c r="F137">
        <f t="shared" si="2"/>
        <v>36</v>
      </c>
      <c r="N137">
        <v>36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4:19" x14ac:dyDescent="0.3">
      <c r="D138">
        <v>5306958</v>
      </c>
      <c r="F138">
        <f t="shared" si="2"/>
        <v>1074</v>
      </c>
      <c r="N138" s="3">
        <v>1074</v>
      </c>
      <c r="O138">
        <v>0</v>
      </c>
      <c r="P138">
        <v>0</v>
      </c>
      <c r="Q138">
        <v>0</v>
      </c>
      <c r="R138">
        <v>0</v>
      </c>
      <c r="S138">
        <v>0</v>
      </c>
    </row>
    <row r="139" spans="4:19" x14ac:dyDescent="0.3">
      <c r="D139">
        <v>5307026</v>
      </c>
      <c r="F139">
        <f t="shared" si="2"/>
        <v>59</v>
      </c>
      <c r="N139">
        <v>59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4:19" x14ac:dyDescent="0.3">
      <c r="D140">
        <v>5307055</v>
      </c>
      <c r="F140">
        <f t="shared" si="2"/>
        <v>1261</v>
      </c>
      <c r="N140" s="3">
        <v>1261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4:19" x14ac:dyDescent="0.3">
      <c r="D141">
        <v>5307060</v>
      </c>
      <c r="F141">
        <f t="shared" si="2"/>
        <v>1260</v>
      </c>
      <c r="N141" s="3">
        <v>1260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4:19" x14ac:dyDescent="0.3">
      <c r="D142">
        <v>5307082</v>
      </c>
      <c r="F142">
        <f t="shared" si="2"/>
        <v>401</v>
      </c>
      <c r="N142">
        <v>91</v>
      </c>
      <c r="O142">
        <v>310</v>
      </c>
      <c r="P142">
        <v>0</v>
      </c>
      <c r="Q142">
        <v>0</v>
      </c>
      <c r="R142">
        <v>0</v>
      </c>
      <c r="S142">
        <v>0</v>
      </c>
    </row>
    <row r="143" spans="4:19" x14ac:dyDescent="0.3">
      <c r="D143">
        <v>5307087</v>
      </c>
      <c r="F143">
        <f t="shared" si="2"/>
        <v>238</v>
      </c>
      <c r="N143">
        <v>238</v>
      </c>
      <c r="O143">
        <v>0</v>
      </c>
      <c r="P143">
        <v>0</v>
      </c>
      <c r="Q143">
        <v>0</v>
      </c>
      <c r="R143">
        <v>0</v>
      </c>
      <c r="S143">
        <v>0</v>
      </c>
    </row>
    <row r="144" spans="4:19" x14ac:dyDescent="0.3">
      <c r="D144">
        <v>5307094</v>
      </c>
      <c r="F144">
        <f t="shared" si="2"/>
        <v>183</v>
      </c>
      <c r="N144">
        <v>183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4:19" x14ac:dyDescent="0.3">
      <c r="D145">
        <v>5307110</v>
      </c>
      <c r="F145">
        <f t="shared" si="2"/>
        <v>460</v>
      </c>
      <c r="N145">
        <v>460</v>
      </c>
      <c r="O145">
        <v>0</v>
      </c>
      <c r="P145">
        <v>0</v>
      </c>
      <c r="Q145">
        <v>0</v>
      </c>
      <c r="R145">
        <v>0</v>
      </c>
      <c r="S145">
        <v>0</v>
      </c>
    </row>
    <row r="146" spans="4:19" x14ac:dyDescent="0.3">
      <c r="D146">
        <v>5307152</v>
      </c>
      <c r="F146">
        <f t="shared" si="2"/>
        <v>371</v>
      </c>
      <c r="N146">
        <v>371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4:19" x14ac:dyDescent="0.3">
      <c r="D147">
        <v>5307523</v>
      </c>
      <c r="F147">
        <f t="shared" si="2"/>
        <v>128</v>
      </c>
      <c r="N147">
        <v>128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4:19" x14ac:dyDescent="0.3">
      <c r="D148">
        <v>5307653</v>
      </c>
      <c r="F148">
        <f t="shared" si="2"/>
        <v>17</v>
      </c>
      <c r="N148">
        <v>17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4:19" x14ac:dyDescent="0.3">
      <c r="D149">
        <v>5307753</v>
      </c>
      <c r="F149">
        <f t="shared" si="2"/>
        <v>25</v>
      </c>
      <c r="N149">
        <v>25</v>
      </c>
      <c r="O149">
        <v>0</v>
      </c>
      <c r="P149">
        <v>0</v>
      </c>
      <c r="Q149">
        <v>0</v>
      </c>
      <c r="R149">
        <v>0</v>
      </c>
      <c r="S149">
        <v>0</v>
      </c>
    </row>
    <row r="150" spans="4:19" x14ac:dyDescent="0.3">
      <c r="D150">
        <v>5307959</v>
      </c>
      <c r="F150">
        <f t="shared" si="2"/>
        <v>50</v>
      </c>
      <c r="N150">
        <v>25</v>
      </c>
      <c r="O150">
        <v>25</v>
      </c>
      <c r="P150">
        <v>0</v>
      </c>
      <c r="Q150">
        <v>0</v>
      </c>
      <c r="R150">
        <v>0</v>
      </c>
      <c r="S150">
        <v>0</v>
      </c>
    </row>
    <row r="151" spans="4:19" x14ac:dyDescent="0.3">
      <c r="D151">
        <v>5307972</v>
      </c>
      <c r="F151">
        <f t="shared" si="2"/>
        <v>380</v>
      </c>
      <c r="N151">
        <v>220</v>
      </c>
      <c r="O151">
        <v>160</v>
      </c>
      <c r="P151">
        <v>0</v>
      </c>
      <c r="Q151">
        <v>0</v>
      </c>
      <c r="R151">
        <v>0</v>
      </c>
      <c r="S151">
        <v>0</v>
      </c>
    </row>
    <row r="152" spans="4:19" x14ac:dyDescent="0.3">
      <c r="D152">
        <v>5308092</v>
      </c>
      <c r="F152">
        <f t="shared" si="2"/>
        <v>3</v>
      </c>
      <c r="N152">
        <v>3</v>
      </c>
      <c r="O152">
        <v>0</v>
      </c>
      <c r="P152">
        <v>0</v>
      </c>
      <c r="Q152">
        <v>0</v>
      </c>
      <c r="R152">
        <v>0</v>
      </c>
      <c r="S152">
        <v>0</v>
      </c>
    </row>
    <row r="153" spans="4:19" x14ac:dyDescent="0.3">
      <c r="D153">
        <v>5308183</v>
      </c>
      <c r="F153">
        <f t="shared" si="2"/>
        <v>243</v>
      </c>
      <c r="N153">
        <v>78</v>
      </c>
      <c r="O153">
        <v>165</v>
      </c>
      <c r="P153">
        <v>0</v>
      </c>
      <c r="Q153">
        <v>0</v>
      </c>
      <c r="R153">
        <v>0</v>
      </c>
      <c r="S153">
        <v>0</v>
      </c>
    </row>
    <row r="154" spans="4:19" x14ac:dyDescent="0.3">
      <c r="D154">
        <v>5309159</v>
      </c>
      <c r="F154">
        <f t="shared" si="2"/>
        <v>17</v>
      </c>
      <c r="N154">
        <v>17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4:19" x14ac:dyDescent="0.3">
      <c r="D155">
        <v>5309737</v>
      </c>
      <c r="F155">
        <f t="shared" si="2"/>
        <v>34</v>
      </c>
      <c r="N155">
        <v>34</v>
      </c>
      <c r="O155">
        <v>0</v>
      </c>
      <c r="P155">
        <v>0</v>
      </c>
      <c r="Q155">
        <v>0</v>
      </c>
      <c r="R155">
        <v>0</v>
      </c>
      <c r="S155">
        <v>0</v>
      </c>
    </row>
    <row r="156" spans="4:19" x14ac:dyDescent="0.3">
      <c r="D156">
        <v>5309738</v>
      </c>
      <c r="F156">
        <f t="shared" si="2"/>
        <v>50</v>
      </c>
      <c r="N156">
        <v>50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4:19" x14ac:dyDescent="0.3">
      <c r="D157" t="s">
        <v>34</v>
      </c>
      <c r="F157">
        <f t="shared" si="2"/>
        <v>16</v>
      </c>
      <c r="N157">
        <v>16</v>
      </c>
      <c r="O157">
        <v>0</v>
      </c>
      <c r="P157">
        <v>0</v>
      </c>
      <c r="Q157">
        <v>0</v>
      </c>
      <c r="R157">
        <v>0</v>
      </c>
      <c r="S157">
        <v>0</v>
      </c>
    </row>
    <row r="158" spans="4:19" x14ac:dyDescent="0.3">
      <c r="D158" t="s">
        <v>1</v>
      </c>
      <c r="F158">
        <f t="shared" si="2"/>
        <v>150</v>
      </c>
      <c r="N158">
        <v>0</v>
      </c>
      <c r="O158">
        <v>150</v>
      </c>
      <c r="P158">
        <v>0</v>
      </c>
      <c r="Q158">
        <v>0</v>
      </c>
      <c r="R158">
        <v>0</v>
      </c>
      <c r="S158">
        <v>0</v>
      </c>
    </row>
    <row r="159" spans="4:19" x14ac:dyDescent="0.3">
      <c r="D159" t="s">
        <v>2</v>
      </c>
      <c r="F159">
        <f t="shared" si="2"/>
        <v>486</v>
      </c>
      <c r="N159">
        <v>486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4:19" x14ac:dyDescent="0.3">
      <c r="D160" t="s">
        <v>176</v>
      </c>
      <c r="F160">
        <f t="shared" si="2"/>
        <v>6</v>
      </c>
      <c r="N160">
        <v>6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4:19" x14ac:dyDescent="0.3">
      <c r="D161" t="s">
        <v>35</v>
      </c>
      <c r="F161">
        <f t="shared" si="2"/>
        <v>25</v>
      </c>
      <c r="N161">
        <v>25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4:19" x14ac:dyDescent="0.3">
      <c r="D162" t="s">
        <v>168</v>
      </c>
      <c r="F162">
        <f t="shared" si="2"/>
        <v>8</v>
      </c>
      <c r="N162">
        <v>8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4:19" x14ac:dyDescent="0.3">
      <c r="D163" t="s">
        <v>36</v>
      </c>
      <c r="F163">
        <f t="shared" si="2"/>
        <v>4</v>
      </c>
      <c r="N163">
        <v>4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4:19" x14ac:dyDescent="0.3">
      <c r="D164" t="s">
        <v>3</v>
      </c>
      <c r="F164">
        <f t="shared" si="2"/>
        <v>16</v>
      </c>
      <c r="N164">
        <v>16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4:19" x14ac:dyDescent="0.3">
      <c r="D165" t="s">
        <v>4</v>
      </c>
      <c r="F165">
        <f t="shared" si="2"/>
        <v>20</v>
      </c>
      <c r="N165">
        <v>20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4:19" x14ac:dyDescent="0.3">
      <c r="D166" t="s">
        <v>5</v>
      </c>
      <c r="F166">
        <f t="shared" si="2"/>
        <v>40</v>
      </c>
      <c r="N166">
        <v>40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4:19" x14ac:dyDescent="0.3">
      <c r="D167" s="80">
        <v>530000</v>
      </c>
      <c r="F167">
        <f t="shared" si="2"/>
        <v>8</v>
      </c>
      <c r="N167">
        <v>4</v>
      </c>
      <c r="O167">
        <v>4</v>
      </c>
      <c r="P167">
        <v>0</v>
      </c>
      <c r="Q167">
        <v>0</v>
      </c>
      <c r="R167">
        <v>0</v>
      </c>
      <c r="S167">
        <v>0</v>
      </c>
    </row>
    <row r="168" spans="4:19" x14ac:dyDescent="0.3">
      <c r="D168" s="80" t="s">
        <v>177</v>
      </c>
      <c r="F168">
        <f t="shared" si="2"/>
        <v>3</v>
      </c>
      <c r="N168">
        <v>3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4:19" x14ac:dyDescent="0.3">
      <c r="D169">
        <v>5320034</v>
      </c>
      <c r="F169">
        <f t="shared" si="2"/>
        <v>45484</v>
      </c>
      <c r="N169" s="3">
        <v>45484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4:19" x14ac:dyDescent="0.3">
      <c r="D170">
        <v>5320037</v>
      </c>
      <c r="F170">
        <f t="shared" si="2"/>
        <v>22162</v>
      </c>
      <c r="N170" s="3">
        <v>22162</v>
      </c>
      <c r="O170">
        <v>0</v>
      </c>
      <c r="P170">
        <v>0</v>
      </c>
      <c r="Q170">
        <v>0</v>
      </c>
      <c r="R170">
        <v>0</v>
      </c>
      <c r="S170">
        <v>0</v>
      </c>
    </row>
    <row r="171" spans="4:19" x14ac:dyDescent="0.3">
      <c r="D171">
        <v>5322330</v>
      </c>
      <c r="F171">
        <f t="shared" si="2"/>
        <v>4881</v>
      </c>
      <c r="N171" s="3">
        <v>4881</v>
      </c>
      <c r="O171">
        <v>0</v>
      </c>
      <c r="P171">
        <v>0</v>
      </c>
      <c r="Q171">
        <v>0</v>
      </c>
      <c r="R171">
        <v>0</v>
      </c>
      <c r="S171">
        <v>0</v>
      </c>
    </row>
    <row r="172" spans="4:19" x14ac:dyDescent="0.3">
      <c r="D172">
        <v>5322355</v>
      </c>
      <c r="F172">
        <f t="shared" si="2"/>
        <v>378</v>
      </c>
      <c r="N172">
        <v>378</v>
      </c>
      <c r="O172">
        <v>0</v>
      </c>
      <c r="P172">
        <v>0</v>
      </c>
      <c r="Q172">
        <v>0</v>
      </c>
      <c r="R172">
        <v>0</v>
      </c>
      <c r="S172">
        <v>0</v>
      </c>
    </row>
    <row r="173" spans="4:19" x14ac:dyDescent="0.3">
      <c r="D173">
        <v>5380187</v>
      </c>
      <c r="F173">
        <f t="shared" si="2"/>
        <v>5482</v>
      </c>
      <c r="N173" s="3">
        <v>5482</v>
      </c>
      <c r="O173">
        <v>0</v>
      </c>
      <c r="P173">
        <v>0</v>
      </c>
      <c r="Q173">
        <v>0</v>
      </c>
      <c r="R173">
        <v>0</v>
      </c>
      <c r="S173">
        <v>0</v>
      </c>
    </row>
    <row r="174" spans="4:19" x14ac:dyDescent="0.3">
      <c r="D174">
        <v>5380580</v>
      </c>
      <c r="F174">
        <f t="shared" si="2"/>
        <v>7220</v>
      </c>
      <c r="N174" s="3">
        <v>7220</v>
      </c>
      <c r="O174">
        <v>0</v>
      </c>
      <c r="P174">
        <v>0</v>
      </c>
      <c r="Q174">
        <v>0</v>
      </c>
      <c r="R174">
        <v>0</v>
      </c>
      <c r="S174">
        <v>0</v>
      </c>
    </row>
    <row r="175" spans="4:19" x14ac:dyDescent="0.3">
      <c r="D175">
        <v>5380581</v>
      </c>
      <c r="F175">
        <f t="shared" si="2"/>
        <v>5567</v>
      </c>
      <c r="N175" s="3">
        <v>5567</v>
      </c>
      <c r="O175">
        <v>0</v>
      </c>
      <c r="P175">
        <v>0</v>
      </c>
      <c r="Q175">
        <v>0</v>
      </c>
      <c r="R175">
        <v>0</v>
      </c>
      <c r="S175">
        <v>0</v>
      </c>
    </row>
    <row r="176" spans="4:19" x14ac:dyDescent="0.3">
      <c r="D176">
        <v>5380584</v>
      </c>
      <c r="F176">
        <f t="shared" si="2"/>
        <v>5922</v>
      </c>
      <c r="N176" s="3">
        <v>5922</v>
      </c>
      <c r="O176">
        <v>0</v>
      </c>
      <c r="P176">
        <v>0</v>
      </c>
      <c r="Q176">
        <v>0</v>
      </c>
      <c r="R176">
        <v>0</v>
      </c>
      <c r="S176">
        <v>0</v>
      </c>
    </row>
    <row r="177" spans="4:19" x14ac:dyDescent="0.3">
      <c r="D177">
        <v>5380586</v>
      </c>
      <c r="F177">
        <f t="shared" si="2"/>
        <v>3293</v>
      </c>
      <c r="N177" s="3">
        <v>3293</v>
      </c>
      <c r="O177">
        <v>0</v>
      </c>
      <c r="P177">
        <v>0</v>
      </c>
      <c r="Q177">
        <v>0</v>
      </c>
      <c r="R177">
        <v>0</v>
      </c>
      <c r="S177">
        <v>0</v>
      </c>
    </row>
    <row r="178" spans="4:19" x14ac:dyDescent="0.3">
      <c r="D178">
        <v>5380609</v>
      </c>
      <c r="F178">
        <f t="shared" si="2"/>
        <v>1279</v>
      </c>
      <c r="N178" s="3">
        <v>1279</v>
      </c>
      <c r="O178">
        <v>0</v>
      </c>
      <c r="P178">
        <v>0</v>
      </c>
      <c r="Q178">
        <v>0</v>
      </c>
      <c r="R178">
        <v>0</v>
      </c>
      <c r="S178">
        <v>0</v>
      </c>
    </row>
    <row r="179" spans="4:19" x14ac:dyDescent="0.3">
      <c r="D179">
        <v>5381816000</v>
      </c>
      <c r="F179">
        <f t="shared" si="2"/>
        <v>6919</v>
      </c>
      <c r="N179" s="3">
        <v>6919</v>
      </c>
      <c r="O179">
        <v>0</v>
      </c>
      <c r="P179">
        <v>0</v>
      </c>
      <c r="Q179">
        <v>0</v>
      </c>
      <c r="R179">
        <v>0</v>
      </c>
      <c r="S179">
        <v>0</v>
      </c>
    </row>
    <row r="180" spans="4:19" x14ac:dyDescent="0.3">
      <c r="D180">
        <v>5381816600</v>
      </c>
      <c r="F180">
        <f t="shared" si="2"/>
        <v>406</v>
      </c>
      <c r="N180">
        <v>406</v>
      </c>
      <c r="O180">
        <v>0</v>
      </c>
      <c r="P180">
        <v>0</v>
      </c>
      <c r="Q180">
        <v>0</v>
      </c>
      <c r="R180">
        <v>0</v>
      </c>
      <c r="S180">
        <v>0</v>
      </c>
    </row>
    <row r="181" spans="4:19" x14ac:dyDescent="0.3">
      <c r="D181">
        <v>5382002</v>
      </c>
      <c r="F181">
        <f t="shared" si="2"/>
        <v>979</v>
      </c>
      <c r="N181">
        <v>979</v>
      </c>
      <c r="O181">
        <v>0</v>
      </c>
      <c r="P181">
        <v>0</v>
      </c>
      <c r="Q181">
        <v>0</v>
      </c>
      <c r="R181">
        <v>0</v>
      </c>
      <c r="S181">
        <v>0</v>
      </c>
    </row>
    <row r="182" spans="4:19" x14ac:dyDescent="0.3">
      <c r="D182">
        <v>5382209</v>
      </c>
      <c r="F182">
        <f t="shared" si="2"/>
        <v>823</v>
      </c>
      <c r="N182">
        <v>823</v>
      </c>
      <c r="O182">
        <v>0</v>
      </c>
      <c r="P182">
        <v>0</v>
      </c>
      <c r="Q182">
        <v>0</v>
      </c>
      <c r="R182">
        <v>0</v>
      </c>
      <c r="S182">
        <v>0</v>
      </c>
    </row>
    <row r="183" spans="4:19" x14ac:dyDescent="0.3">
      <c r="D183">
        <v>5382321</v>
      </c>
      <c r="F183">
        <f t="shared" si="2"/>
        <v>2594</v>
      </c>
      <c r="N183" s="3">
        <v>2594</v>
      </c>
      <c r="O183">
        <v>0</v>
      </c>
      <c r="P183">
        <v>0</v>
      </c>
      <c r="Q183">
        <v>0</v>
      </c>
      <c r="R183">
        <v>0</v>
      </c>
      <c r="S183">
        <v>0</v>
      </c>
    </row>
    <row r="184" spans="4:19" x14ac:dyDescent="0.3">
      <c r="D184">
        <v>5382862</v>
      </c>
      <c r="F184">
        <f t="shared" si="2"/>
        <v>2020</v>
      </c>
      <c r="N184" s="3">
        <v>2020</v>
      </c>
      <c r="O184">
        <v>0</v>
      </c>
      <c r="P184">
        <v>0</v>
      </c>
      <c r="Q184">
        <v>0</v>
      </c>
      <c r="R184">
        <v>0</v>
      </c>
      <c r="S184">
        <v>0</v>
      </c>
    </row>
    <row r="185" spans="4:19" x14ac:dyDescent="0.3">
      <c r="D185">
        <v>5384623</v>
      </c>
      <c r="F185">
        <f t="shared" si="2"/>
        <v>538</v>
      </c>
      <c r="N185">
        <v>538</v>
      </c>
      <c r="O185">
        <v>0</v>
      </c>
      <c r="P185">
        <v>0</v>
      </c>
      <c r="Q185">
        <v>0</v>
      </c>
      <c r="R185">
        <v>0</v>
      </c>
      <c r="S185">
        <v>0</v>
      </c>
    </row>
    <row r="186" spans="4:19" x14ac:dyDescent="0.3">
      <c r="D186">
        <v>5388331</v>
      </c>
      <c r="F186">
        <f t="shared" si="2"/>
        <v>1288</v>
      </c>
      <c r="N186" s="3">
        <v>1288</v>
      </c>
      <c r="O186">
        <v>0</v>
      </c>
      <c r="P186">
        <v>0</v>
      </c>
      <c r="Q186">
        <v>0</v>
      </c>
      <c r="R186">
        <v>0</v>
      </c>
      <c r="S186">
        <v>0</v>
      </c>
    </row>
    <row r="187" spans="4:19" x14ac:dyDescent="0.3">
      <c r="D187">
        <v>5404073</v>
      </c>
      <c r="F187">
        <f t="shared" si="2"/>
        <v>66</v>
      </c>
      <c r="N187">
        <v>66</v>
      </c>
      <c r="O187">
        <v>0</v>
      </c>
      <c r="P187">
        <v>0</v>
      </c>
      <c r="Q187">
        <v>0</v>
      </c>
      <c r="R187">
        <v>0</v>
      </c>
      <c r="S187">
        <v>0</v>
      </c>
    </row>
    <row r="188" spans="4:19" x14ac:dyDescent="0.3">
      <c r="D188">
        <v>5404077</v>
      </c>
      <c r="F188">
        <f t="shared" si="2"/>
        <v>120</v>
      </c>
      <c r="N188">
        <v>120</v>
      </c>
      <c r="O188">
        <v>0</v>
      </c>
      <c r="P188">
        <v>0</v>
      </c>
      <c r="Q188">
        <v>0</v>
      </c>
      <c r="R188">
        <v>0</v>
      </c>
      <c r="S188">
        <v>0</v>
      </c>
    </row>
    <row r="189" spans="4:19" x14ac:dyDescent="0.3">
      <c r="D189">
        <v>5500053</v>
      </c>
      <c r="F189">
        <f t="shared" si="2"/>
        <v>35</v>
      </c>
      <c r="N189">
        <v>35</v>
      </c>
      <c r="O189">
        <v>0</v>
      </c>
      <c r="P189">
        <v>0</v>
      </c>
      <c r="Q189">
        <v>0</v>
      </c>
      <c r="R189">
        <v>0</v>
      </c>
      <c r="S189">
        <v>0</v>
      </c>
    </row>
    <row r="190" spans="4:19" x14ac:dyDescent="0.3">
      <c r="D190">
        <v>5500142</v>
      </c>
      <c r="F190">
        <f t="shared" si="2"/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</row>
    <row r="191" spans="4:19" x14ac:dyDescent="0.3">
      <c r="D191">
        <v>5500220</v>
      </c>
      <c r="F191">
        <f t="shared" si="2"/>
        <v>29</v>
      </c>
      <c r="N191">
        <v>29</v>
      </c>
      <c r="O191">
        <v>0</v>
      </c>
      <c r="P191">
        <v>0</v>
      </c>
      <c r="Q191">
        <v>0</v>
      </c>
      <c r="R191">
        <v>0</v>
      </c>
      <c r="S191">
        <v>0</v>
      </c>
    </row>
    <row r="192" spans="4:19" x14ac:dyDescent="0.3">
      <c r="D192">
        <v>5502831</v>
      </c>
      <c r="F192">
        <f t="shared" si="2"/>
        <v>15</v>
      </c>
      <c r="N192">
        <v>15</v>
      </c>
      <c r="O192">
        <v>0</v>
      </c>
      <c r="P192">
        <v>0</v>
      </c>
      <c r="Q192">
        <v>0</v>
      </c>
      <c r="R192">
        <v>0</v>
      </c>
      <c r="S192">
        <v>0</v>
      </c>
    </row>
    <row r="193" spans="4:19" x14ac:dyDescent="0.3">
      <c r="D193">
        <v>5502938</v>
      </c>
      <c r="F193">
        <f t="shared" si="2"/>
        <v>1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</row>
    <row r="194" spans="4:19" x14ac:dyDescent="0.3">
      <c r="D194">
        <v>5502949</v>
      </c>
      <c r="F194">
        <f t="shared" si="2"/>
        <v>362</v>
      </c>
      <c r="N194">
        <v>362</v>
      </c>
      <c r="O194">
        <v>0</v>
      </c>
      <c r="P194">
        <v>0</v>
      </c>
      <c r="Q194">
        <v>0</v>
      </c>
      <c r="R194">
        <v>0</v>
      </c>
      <c r="S194">
        <v>0</v>
      </c>
    </row>
    <row r="195" spans="4:19" x14ac:dyDescent="0.3">
      <c r="D195">
        <v>5503544</v>
      </c>
      <c r="F195">
        <f t="shared" ref="F195:F258" si="3">SUMIF(N195:S195,"&gt;=0")</f>
        <v>2</v>
      </c>
      <c r="N195">
        <v>2</v>
      </c>
      <c r="O195">
        <v>0</v>
      </c>
      <c r="P195">
        <v>0</v>
      </c>
      <c r="Q195">
        <v>0</v>
      </c>
      <c r="R195">
        <v>0</v>
      </c>
      <c r="S195">
        <v>0</v>
      </c>
    </row>
    <row r="196" spans="4:19" x14ac:dyDescent="0.3">
      <c r="D196">
        <v>5503631</v>
      </c>
      <c r="F196">
        <f t="shared" si="3"/>
        <v>21</v>
      </c>
      <c r="N196">
        <v>21</v>
      </c>
      <c r="O196">
        <v>0</v>
      </c>
      <c r="P196">
        <v>0</v>
      </c>
      <c r="Q196">
        <v>0</v>
      </c>
      <c r="R196">
        <v>0</v>
      </c>
      <c r="S196">
        <v>0</v>
      </c>
    </row>
    <row r="197" spans="4:19" x14ac:dyDescent="0.3">
      <c r="D197">
        <v>5504093</v>
      </c>
      <c r="F197">
        <f t="shared" si="3"/>
        <v>62</v>
      </c>
      <c r="N197">
        <v>62</v>
      </c>
      <c r="O197">
        <v>0</v>
      </c>
      <c r="P197">
        <v>0</v>
      </c>
      <c r="Q197">
        <v>0</v>
      </c>
      <c r="R197">
        <v>0</v>
      </c>
      <c r="S197">
        <v>0</v>
      </c>
    </row>
    <row r="198" spans="4:19" x14ac:dyDescent="0.3">
      <c r="D198">
        <v>5504116</v>
      </c>
      <c r="F198">
        <f t="shared" si="3"/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</row>
    <row r="199" spans="4:19" x14ac:dyDescent="0.3">
      <c r="D199">
        <v>5702589</v>
      </c>
      <c r="F199">
        <f t="shared" si="3"/>
        <v>8</v>
      </c>
      <c r="N199">
        <v>8</v>
      </c>
      <c r="O199">
        <v>0</v>
      </c>
      <c r="P199">
        <v>0</v>
      </c>
      <c r="Q199">
        <v>0</v>
      </c>
      <c r="R199">
        <v>0</v>
      </c>
      <c r="S199">
        <v>0</v>
      </c>
    </row>
    <row r="200" spans="4:19" x14ac:dyDescent="0.3">
      <c r="D200">
        <v>5702605</v>
      </c>
      <c r="F200">
        <f t="shared" si="3"/>
        <v>49</v>
      </c>
      <c r="N200">
        <v>49</v>
      </c>
      <c r="O200">
        <v>0</v>
      </c>
      <c r="P200">
        <v>0</v>
      </c>
      <c r="Q200">
        <v>0</v>
      </c>
      <c r="R200">
        <v>0</v>
      </c>
      <c r="S200">
        <v>0</v>
      </c>
    </row>
    <row r="201" spans="4:19" x14ac:dyDescent="0.3">
      <c r="D201">
        <v>5703379</v>
      </c>
      <c r="F201">
        <f t="shared" si="3"/>
        <v>2</v>
      </c>
      <c r="N201">
        <v>2</v>
      </c>
      <c r="O201">
        <v>0</v>
      </c>
      <c r="P201">
        <v>0</v>
      </c>
      <c r="Q201">
        <v>0</v>
      </c>
      <c r="R201">
        <v>0</v>
      </c>
      <c r="S201">
        <v>0</v>
      </c>
    </row>
    <row r="202" spans="4:19" x14ac:dyDescent="0.3">
      <c r="D202">
        <v>5703423</v>
      </c>
      <c r="F202">
        <f t="shared" si="3"/>
        <v>8</v>
      </c>
      <c r="N202">
        <v>8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4:19" x14ac:dyDescent="0.3">
      <c r="D203">
        <v>5704495</v>
      </c>
      <c r="F203">
        <f t="shared" si="3"/>
        <v>2</v>
      </c>
      <c r="N203">
        <v>2</v>
      </c>
      <c r="O203">
        <v>0</v>
      </c>
      <c r="P203">
        <v>0</v>
      </c>
      <c r="Q203">
        <v>0</v>
      </c>
      <c r="R203">
        <v>0</v>
      </c>
      <c r="S203">
        <v>0</v>
      </c>
    </row>
    <row r="204" spans="4:19" x14ac:dyDescent="0.3">
      <c r="D204">
        <v>5704496</v>
      </c>
      <c r="F204">
        <f t="shared" si="3"/>
        <v>9</v>
      </c>
      <c r="N204">
        <v>9</v>
      </c>
      <c r="O204">
        <v>0</v>
      </c>
      <c r="P204">
        <v>0</v>
      </c>
      <c r="Q204">
        <v>0</v>
      </c>
      <c r="R204">
        <v>0</v>
      </c>
      <c r="S204">
        <v>0</v>
      </c>
    </row>
    <row r="205" spans="4:19" x14ac:dyDescent="0.3">
      <c r="D205">
        <v>5704587</v>
      </c>
      <c r="F205">
        <f t="shared" si="3"/>
        <v>48</v>
      </c>
      <c r="N205">
        <v>33</v>
      </c>
      <c r="O205">
        <v>15</v>
      </c>
      <c r="P205">
        <v>0</v>
      </c>
      <c r="Q205">
        <v>0</v>
      </c>
      <c r="R205">
        <v>0</v>
      </c>
      <c r="S205">
        <v>0</v>
      </c>
    </row>
    <row r="206" spans="4:19" x14ac:dyDescent="0.3">
      <c r="D206">
        <v>5704865</v>
      </c>
      <c r="F206">
        <f t="shared" si="3"/>
        <v>5</v>
      </c>
      <c r="N206">
        <v>5</v>
      </c>
      <c r="O206">
        <v>0</v>
      </c>
      <c r="P206">
        <v>0</v>
      </c>
      <c r="Q206">
        <v>0</v>
      </c>
      <c r="R206">
        <v>0</v>
      </c>
      <c r="S206">
        <v>0</v>
      </c>
    </row>
    <row r="207" spans="4:19" x14ac:dyDescent="0.3">
      <c r="D207">
        <v>5810860</v>
      </c>
      <c r="F207">
        <f t="shared" si="3"/>
        <v>216</v>
      </c>
      <c r="N207">
        <v>216</v>
      </c>
      <c r="O207">
        <v>0</v>
      </c>
      <c r="P207">
        <v>0</v>
      </c>
      <c r="Q207">
        <v>0</v>
      </c>
      <c r="R207">
        <v>0</v>
      </c>
      <c r="S207">
        <v>0</v>
      </c>
    </row>
    <row r="208" spans="4:19" x14ac:dyDescent="0.3">
      <c r="D208">
        <v>5810976</v>
      </c>
      <c r="F208">
        <f t="shared" si="3"/>
        <v>41</v>
      </c>
      <c r="N208">
        <v>41</v>
      </c>
      <c r="O208">
        <v>0</v>
      </c>
      <c r="P208">
        <v>0</v>
      </c>
      <c r="Q208">
        <v>0</v>
      </c>
      <c r="R208">
        <v>0</v>
      </c>
      <c r="S208">
        <v>0</v>
      </c>
    </row>
    <row r="209" spans="4:19" x14ac:dyDescent="0.3">
      <c r="D209">
        <v>5811035</v>
      </c>
      <c r="F209">
        <f t="shared" si="3"/>
        <v>9</v>
      </c>
      <c r="N209">
        <v>9</v>
      </c>
      <c r="O209">
        <v>0</v>
      </c>
      <c r="P209">
        <v>0</v>
      </c>
      <c r="Q209">
        <v>0</v>
      </c>
      <c r="R209">
        <v>0</v>
      </c>
      <c r="S209">
        <v>0</v>
      </c>
    </row>
    <row r="210" spans="4:19" x14ac:dyDescent="0.3">
      <c r="D210">
        <v>5811055</v>
      </c>
      <c r="F210">
        <f t="shared" si="3"/>
        <v>67</v>
      </c>
      <c r="N210">
        <v>67</v>
      </c>
      <c r="O210">
        <v>0</v>
      </c>
      <c r="P210">
        <v>0</v>
      </c>
      <c r="Q210">
        <v>0</v>
      </c>
      <c r="R210">
        <v>0</v>
      </c>
      <c r="S210">
        <v>0</v>
      </c>
    </row>
    <row r="211" spans="4:19" x14ac:dyDescent="0.3">
      <c r="D211">
        <v>5811121</v>
      </c>
      <c r="F211">
        <f t="shared" si="3"/>
        <v>22</v>
      </c>
      <c r="N211">
        <v>22</v>
      </c>
      <c r="O211">
        <v>0</v>
      </c>
      <c r="P211">
        <v>0</v>
      </c>
      <c r="Q211">
        <v>0</v>
      </c>
      <c r="R211">
        <v>0</v>
      </c>
      <c r="S211">
        <v>0</v>
      </c>
    </row>
    <row r="212" spans="4:19" x14ac:dyDescent="0.3">
      <c r="D212">
        <v>5812312</v>
      </c>
      <c r="F212">
        <f t="shared" si="3"/>
        <v>3</v>
      </c>
      <c r="N212">
        <v>3</v>
      </c>
      <c r="O212">
        <v>0</v>
      </c>
      <c r="P212">
        <v>0</v>
      </c>
      <c r="Q212">
        <v>0</v>
      </c>
      <c r="R212">
        <v>0</v>
      </c>
      <c r="S212">
        <v>0</v>
      </c>
    </row>
    <row r="213" spans="4:19" x14ac:dyDescent="0.3">
      <c r="D213">
        <v>5813026</v>
      </c>
      <c r="F213">
        <f t="shared" si="3"/>
        <v>36</v>
      </c>
      <c r="N213">
        <v>36</v>
      </c>
      <c r="O213">
        <v>0</v>
      </c>
      <c r="P213">
        <v>0</v>
      </c>
      <c r="Q213">
        <v>0</v>
      </c>
      <c r="R213">
        <v>0</v>
      </c>
      <c r="S213">
        <v>0</v>
      </c>
    </row>
    <row r="214" spans="4:19" x14ac:dyDescent="0.3">
      <c r="D214">
        <v>5813142</v>
      </c>
      <c r="F214">
        <f t="shared" si="3"/>
        <v>58</v>
      </c>
      <c r="N214">
        <v>58</v>
      </c>
      <c r="O214">
        <v>0</v>
      </c>
      <c r="P214">
        <v>0</v>
      </c>
      <c r="Q214">
        <v>0</v>
      </c>
      <c r="R214">
        <v>0</v>
      </c>
      <c r="S214">
        <v>0</v>
      </c>
    </row>
    <row r="215" spans="4:19" x14ac:dyDescent="0.3">
      <c r="D215">
        <v>5813802</v>
      </c>
      <c r="F215">
        <f t="shared" si="3"/>
        <v>3</v>
      </c>
      <c r="N215">
        <v>3</v>
      </c>
      <c r="O215">
        <v>0</v>
      </c>
      <c r="P215">
        <v>0</v>
      </c>
      <c r="Q215">
        <v>0</v>
      </c>
      <c r="R215">
        <v>0</v>
      </c>
      <c r="S215">
        <v>0</v>
      </c>
    </row>
    <row r="216" spans="4:19" x14ac:dyDescent="0.3">
      <c r="D216">
        <v>5813868</v>
      </c>
      <c r="F216">
        <f t="shared" si="3"/>
        <v>16</v>
      </c>
      <c r="N216">
        <v>16</v>
      </c>
      <c r="O216">
        <v>0</v>
      </c>
      <c r="P216">
        <v>0</v>
      </c>
      <c r="Q216">
        <v>0</v>
      </c>
      <c r="R216">
        <v>0</v>
      </c>
      <c r="S216">
        <v>0</v>
      </c>
    </row>
    <row r="217" spans="4:19" x14ac:dyDescent="0.3">
      <c r="D217">
        <v>5814383</v>
      </c>
      <c r="F217">
        <f t="shared" si="3"/>
        <v>16</v>
      </c>
      <c r="N217">
        <v>16</v>
      </c>
      <c r="O217">
        <v>0</v>
      </c>
      <c r="P217">
        <v>0</v>
      </c>
      <c r="Q217">
        <v>0</v>
      </c>
      <c r="R217">
        <v>0</v>
      </c>
      <c r="S217">
        <v>0</v>
      </c>
    </row>
    <row r="218" spans="4:19" x14ac:dyDescent="0.3">
      <c r="D218">
        <v>5815757</v>
      </c>
      <c r="F218">
        <f t="shared" si="3"/>
        <v>2</v>
      </c>
      <c r="N218">
        <v>2</v>
      </c>
      <c r="O218">
        <v>0</v>
      </c>
      <c r="P218">
        <v>0</v>
      </c>
      <c r="Q218">
        <v>0</v>
      </c>
      <c r="R218">
        <v>0</v>
      </c>
      <c r="S218">
        <v>0</v>
      </c>
    </row>
    <row r="219" spans="4:19" x14ac:dyDescent="0.3">
      <c r="D219">
        <v>5816274</v>
      </c>
      <c r="F219">
        <f t="shared" si="3"/>
        <v>68</v>
      </c>
      <c r="N219">
        <v>68</v>
      </c>
      <c r="O219">
        <v>0</v>
      </c>
      <c r="P219">
        <v>0</v>
      </c>
      <c r="Q219">
        <v>0</v>
      </c>
      <c r="R219">
        <v>0</v>
      </c>
      <c r="S219">
        <v>0</v>
      </c>
    </row>
    <row r="220" spans="4:19" x14ac:dyDescent="0.3">
      <c r="D220">
        <v>5817105</v>
      </c>
      <c r="F220">
        <f t="shared" si="3"/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</row>
    <row r="221" spans="4:19" x14ac:dyDescent="0.3">
      <c r="D221">
        <v>5817307</v>
      </c>
      <c r="F221">
        <f t="shared" si="3"/>
        <v>1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</row>
    <row r="222" spans="4:19" x14ac:dyDescent="0.3">
      <c r="D222">
        <v>5817939</v>
      </c>
      <c r="F222">
        <f t="shared" si="3"/>
        <v>7</v>
      </c>
      <c r="N222">
        <v>7</v>
      </c>
      <c r="O222">
        <v>0</v>
      </c>
      <c r="P222">
        <v>0</v>
      </c>
      <c r="Q222">
        <v>0</v>
      </c>
      <c r="R222">
        <v>0</v>
      </c>
      <c r="S222">
        <v>0</v>
      </c>
    </row>
    <row r="223" spans="4:19" x14ac:dyDescent="0.3">
      <c r="D223" t="s">
        <v>6</v>
      </c>
      <c r="F223">
        <f t="shared" si="3"/>
        <v>117</v>
      </c>
      <c r="N223">
        <v>117</v>
      </c>
      <c r="O223">
        <v>0</v>
      </c>
      <c r="P223">
        <v>0</v>
      </c>
      <c r="Q223">
        <v>0</v>
      </c>
      <c r="R223">
        <v>0</v>
      </c>
      <c r="S223">
        <v>0</v>
      </c>
    </row>
    <row r="224" spans="4:19" x14ac:dyDescent="0.3">
      <c r="D224" t="s">
        <v>7</v>
      </c>
      <c r="F224">
        <f t="shared" si="3"/>
        <v>2</v>
      </c>
      <c r="N224">
        <v>2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4:19" x14ac:dyDescent="0.3">
      <c r="D225" t="s">
        <v>169</v>
      </c>
      <c r="F225">
        <f t="shared" si="3"/>
        <v>27</v>
      </c>
      <c r="N225">
        <v>27</v>
      </c>
      <c r="O225">
        <v>0</v>
      </c>
      <c r="P225">
        <v>0</v>
      </c>
      <c r="Q225">
        <v>0</v>
      </c>
      <c r="R225">
        <v>0</v>
      </c>
      <c r="S225">
        <v>0</v>
      </c>
    </row>
    <row r="226" spans="4:19" x14ac:dyDescent="0.3">
      <c r="D226" t="s">
        <v>8</v>
      </c>
      <c r="F226">
        <f t="shared" si="3"/>
        <v>23</v>
      </c>
      <c r="N226">
        <v>23</v>
      </c>
      <c r="O226">
        <v>0</v>
      </c>
      <c r="P226">
        <v>0</v>
      </c>
      <c r="Q226">
        <v>0</v>
      </c>
      <c r="R226">
        <v>0</v>
      </c>
      <c r="S226">
        <v>0</v>
      </c>
    </row>
    <row r="227" spans="4:19" x14ac:dyDescent="0.3">
      <c r="D227" t="s">
        <v>19</v>
      </c>
      <c r="F227">
        <f t="shared" si="3"/>
        <v>6</v>
      </c>
      <c r="N227">
        <v>6</v>
      </c>
      <c r="O227">
        <v>0</v>
      </c>
      <c r="P227">
        <v>0</v>
      </c>
      <c r="Q227">
        <v>0</v>
      </c>
      <c r="R227">
        <v>0</v>
      </c>
      <c r="S227">
        <v>0</v>
      </c>
    </row>
    <row r="228" spans="4:19" x14ac:dyDescent="0.3">
      <c r="D228" t="s">
        <v>20</v>
      </c>
      <c r="F228">
        <f t="shared" si="3"/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</row>
    <row r="229" spans="4:19" x14ac:dyDescent="0.3">
      <c r="D229" t="s">
        <v>21</v>
      </c>
      <c r="F229">
        <f t="shared" si="3"/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</row>
    <row r="230" spans="4:19" x14ac:dyDescent="0.3">
      <c r="D230" t="s">
        <v>170</v>
      </c>
      <c r="F230">
        <f t="shared" si="3"/>
        <v>11</v>
      </c>
      <c r="N230">
        <v>11</v>
      </c>
      <c r="O230">
        <v>0</v>
      </c>
      <c r="P230">
        <v>0</v>
      </c>
      <c r="Q230">
        <v>0</v>
      </c>
      <c r="R230">
        <v>0</v>
      </c>
      <c r="S230">
        <v>0</v>
      </c>
    </row>
    <row r="231" spans="4:19" x14ac:dyDescent="0.3">
      <c r="D231" t="s">
        <v>22</v>
      </c>
      <c r="F231">
        <f t="shared" si="3"/>
        <v>34</v>
      </c>
      <c r="N231">
        <v>34</v>
      </c>
      <c r="O231">
        <v>0</v>
      </c>
      <c r="P231">
        <v>0</v>
      </c>
      <c r="Q231">
        <v>0</v>
      </c>
      <c r="R231">
        <v>0</v>
      </c>
      <c r="S231">
        <v>0</v>
      </c>
    </row>
    <row r="232" spans="4:19" x14ac:dyDescent="0.3">
      <c r="D232" t="s">
        <v>9</v>
      </c>
      <c r="F232">
        <f t="shared" si="3"/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</row>
    <row r="233" spans="4:19" x14ac:dyDescent="0.3">
      <c r="D233" t="s">
        <v>10</v>
      </c>
      <c r="F233">
        <f t="shared" si="3"/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</row>
    <row r="234" spans="4:19" x14ac:dyDescent="0.3">
      <c r="D234" t="s">
        <v>23</v>
      </c>
      <c r="F234">
        <f t="shared" si="3"/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</row>
    <row r="235" spans="4:19" x14ac:dyDescent="0.3">
      <c r="D235" t="s">
        <v>171</v>
      </c>
      <c r="F235">
        <f t="shared" si="3"/>
        <v>40</v>
      </c>
      <c r="N235">
        <v>20</v>
      </c>
      <c r="O235">
        <v>20</v>
      </c>
      <c r="P235">
        <v>0</v>
      </c>
      <c r="Q235">
        <v>0</v>
      </c>
      <c r="R235">
        <v>0</v>
      </c>
      <c r="S235">
        <v>0</v>
      </c>
    </row>
    <row r="236" spans="4:19" x14ac:dyDescent="0.3">
      <c r="D236" t="s">
        <v>178</v>
      </c>
      <c r="F236">
        <f t="shared" si="3"/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</row>
    <row r="237" spans="4:19" x14ac:dyDescent="0.3">
      <c r="D237" t="s">
        <v>11</v>
      </c>
      <c r="F237">
        <f t="shared" si="3"/>
        <v>16</v>
      </c>
      <c r="N237">
        <v>16</v>
      </c>
      <c r="O237">
        <v>0</v>
      </c>
      <c r="P237">
        <v>0</v>
      </c>
      <c r="Q237">
        <v>0</v>
      </c>
      <c r="R237">
        <v>0</v>
      </c>
      <c r="S237">
        <v>0</v>
      </c>
    </row>
    <row r="238" spans="4:19" x14ac:dyDescent="0.3">
      <c r="D238">
        <v>5935581</v>
      </c>
      <c r="F238">
        <f t="shared" si="3"/>
        <v>4</v>
      </c>
      <c r="N238">
        <v>2</v>
      </c>
      <c r="O238">
        <v>2</v>
      </c>
      <c r="P238">
        <v>0</v>
      </c>
      <c r="Q238">
        <v>0</v>
      </c>
      <c r="R238">
        <v>0</v>
      </c>
      <c r="S238">
        <v>0</v>
      </c>
    </row>
    <row r="239" spans="4:19" x14ac:dyDescent="0.3">
      <c r="D239">
        <v>5935582</v>
      </c>
      <c r="F239">
        <f t="shared" si="3"/>
        <v>19</v>
      </c>
      <c r="N239">
        <v>19</v>
      </c>
      <c r="O239">
        <v>0</v>
      </c>
      <c r="P239">
        <v>0</v>
      </c>
      <c r="Q239">
        <v>0</v>
      </c>
      <c r="R239">
        <v>0</v>
      </c>
      <c r="S239">
        <v>0</v>
      </c>
    </row>
    <row r="240" spans="4:19" x14ac:dyDescent="0.3">
      <c r="D240">
        <v>5942149</v>
      </c>
      <c r="F240">
        <f t="shared" si="3"/>
        <v>14</v>
      </c>
      <c r="N240">
        <v>14</v>
      </c>
      <c r="O240">
        <v>0</v>
      </c>
      <c r="P240">
        <v>0</v>
      </c>
      <c r="Q240">
        <v>0</v>
      </c>
      <c r="R240">
        <v>0</v>
      </c>
      <c r="S240">
        <v>0</v>
      </c>
    </row>
    <row r="241" spans="4:19" x14ac:dyDescent="0.3">
      <c r="D241">
        <v>6002997</v>
      </c>
      <c r="F241">
        <f t="shared" si="3"/>
        <v>10</v>
      </c>
      <c r="N241">
        <v>10</v>
      </c>
      <c r="O241">
        <v>0</v>
      </c>
      <c r="P241">
        <v>0</v>
      </c>
      <c r="Q241">
        <v>0</v>
      </c>
      <c r="R241">
        <v>0</v>
      </c>
      <c r="S241">
        <v>0</v>
      </c>
    </row>
    <row r="242" spans="4:19" x14ac:dyDescent="0.3">
      <c r="D242">
        <v>6003403</v>
      </c>
      <c r="F242">
        <f t="shared" si="3"/>
        <v>4</v>
      </c>
      <c r="N242">
        <v>4</v>
      </c>
      <c r="O242">
        <v>0</v>
      </c>
      <c r="P242">
        <v>0</v>
      </c>
      <c r="Q242">
        <v>0</v>
      </c>
      <c r="R242">
        <v>0</v>
      </c>
      <c r="S242">
        <v>0</v>
      </c>
    </row>
    <row r="243" spans="4:19" x14ac:dyDescent="0.3">
      <c r="D243">
        <v>6004256</v>
      </c>
      <c r="F243">
        <f t="shared" si="3"/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</row>
    <row r="244" spans="4:19" x14ac:dyDescent="0.3">
      <c r="D244">
        <v>6004317</v>
      </c>
      <c r="F244">
        <f t="shared" si="3"/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</row>
    <row r="245" spans="4:19" x14ac:dyDescent="0.3">
      <c r="D245">
        <v>6010951</v>
      </c>
      <c r="F245">
        <f t="shared" si="3"/>
        <v>37</v>
      </c>
      <c r="N245">
        <v>37</v>
      </c>
      <c r="O245">
        <v>0</v>
      </c>
      <c r="P245">
        <v>0</v>
      </c>
      <c r="Q245">
        <v>0</v>
      </c>
      <c r="R245">
        <v>0</v>
      </c>
      <c r="S245">
        <v>0</v>
      </c>
    </row>
    <row r="246" spans="4:19" x14ac:dyDescent="0.3">
      <c r="D246">
        <v>6011588</v>
      </c>
      <c r="F246">
        <f t="shared" si="3"/>
        <v>437</v>
      </c>
      <c r="N246">
        <v>287</v>
      </c>
      <c r="O246">
        <v>150</v>
      </c>
      <c r="P246">
        <v>0</v>
      </c>
      <c r="Q246">
        <v>0</v>
      </c>
      <c r="R246">
        <v>0</v>
      </c>
      <c r="S246">
        <v>0</v>
      </c>
    </row>
    <row r="247" spans="4:19" x14ac:dyDescent="0.3">
      <c r="D247">
        <v>6012123</v>
      </c>
      <c r="F247">
        <f t="shared" si="3"/>
        <v>1077</v>
      </c>
      <c r="N247" s="3">
        <v>1077</v>
      </c>
      <c r="O247">
        <v>0</v>
      </c>
      <c r="P247">
        <v>0</v>
      </c>
      <c r="Q247">
        <v>0</v>
      </c>
      <c r="R247">
        <v>0</v>
      </c>
      <c r="S247">
        <v>0</v>
      </c>
    </row>
    <row r="248" spans="4:19" x14ac:dyDescent="0.3">
      <c r="D248">
        <v>6012604</v>
      </c>
      <c r="F248">
        <f t="shared" si="3"/>
        <v>517</v>
      </c>
      <c r="N248">
        <v>517</v>
      </c>
      <c r="O248">
        <v>0</v>
      </c>
      <c r="P248">
        <v>0</v>
      </c>
      <c r="Q248">
        <v>0</v>
      </c>
      <c r="R248">
        <v>0</v>
      </c>
      <c r="S248">
        <v>0</v>
      </c>
    </row>
    <row r="249" spans="4:19" x14ac:dyDescent="0.3">
      <c r="D249">
        <v>6012764</v>
      </c>
      <c r="F249">
        <f t="shared" si="3"/>
        <v>158</v>
      </c>
      <c r="N249">
        <v>158</v>
      </c>
      <c r="O249">
        <v>0</v>
      </c>
      <c r="P249">
        <v>0</v>
      </c>
      <c r="Q249">
        <v>0</v>
      </c>
      <c r="R249">
        <v>0</v>
      </c>
      <c r="S249">
        <v>0</v>
      </c>
    </row>
    <row r="250" spans="4:19" x14ac:dyDescent="0.3">
      <c r="D250">
        <v>6012771</v>
      </c>
      <c r="F250">
        <f t="shared" si="3"/>
        <v>395</v>
      </c>
      <c r="N250">
        <v>395</v>
      </c>
      <c r="O250">
        <v>0</v>
      </c>
      <c r="P250">
        <v>0</v>
      </c>
      <c r="Q250">
        <v>0</v>
      </c>
      <c r="R250">
        <v>0</v>
      </c>
      <c r="S250">
        <v>0</v>
      </c>
    </row>
    <row r="251" spans="4:19" x14ac:dyDescent="0.3">
      <c r="D251">
        <v>6012776</v>
      </c>
      <c r="F251">
        <f t="shared" si="3"/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</row>
    <row r="252" spans="4:19" x14ac:dyDescent="0.3">
      <c r="D252">
        <v>6012780</v>
      </c>
      <c r="F252">
        <f t="shared" si="3"/>
        <v>60</v>
      </c>
      <c r="N252">
        <v>60</v>
      </c>
      <c r="O252">
        <v>0</v>
      </c>
      <c r="P252">
        <v>0</v>
      </c>
      <c r="Q252">
        <v>0</v>
      </c>
      <c r="R252">
        <v>0</v>
      </c>
      <c r="S252">
        <v>0</v>
      </c>
    </row>
    <row r="253" spans="4:19" x14ac:dyDescent="0.3">
      <c r="D253">
        <v>6012898</v>
      </c>
      <c r="F253">
        <f t="shared" si="3"/>
        <v>103</v>
      </c>
      <c r="N253">
        <v>103</v>
      </c>
      <c r="O253">
        <v>0</v>
      </c>
      <c r="P253">
        <v>0</v>
      </c>
      <c r="Q253">
        <v>0</v>
      </c>
      <c r="R253">
        <v>0</v>
      </c>
      <c r="S253">
        <v>0</v>
      </c>
    </row>
    <row r="254" spans="4:19" x14ac:dyDescent="0.3">
      <c r="D254">
        <v>6012899</v>
      </c>
      <c r="F254">
        <f t="shared" si="3"/>
        <v>56</v>
      </c>
      <c r="N254">
        <v>56</v>
      </c>
      <c r="O254">
        <v>0</v>
      </c>
      <c r="P254">
        <v>0</v>
      </c>
      <c r="Q254">
        <v>0</v>
      </c>
      <c r="R254">
        <v>0</v>
      </c>
      <c r="S254">
        <v>0</v>
      </c>
    </row>
    <row r="255" spans="4:19" x14ac:dyDescent="0.3">
      <c r="D255">
        <v>6013127</v>
      </c>
      <c r="F255">
        <f t="shared" si="3"/>
        <v>306</v>
      </c>
      <c r="N255">
        <v>306</v>
      </c>
      <c r="O255">
        <v>0</v>
      </c>
      <c r="P255">
        <v>0</v>
      </c>
      <c r="Q255">
        <v>0</v>
      </c>
      <c r="R255">
        <v>0</v>
      </c>
      <c r="S255">
        <v>0</v>
      </c>
    </row>
    <row r="256" spans="4:19" x14ac:dyDescent="0.3">
      <c r="D256">
        <v>6013278</v>
      </c>
      <c r="F256">
        <f t="shared" si="3"/>
        <v>116</v>
      </c>
      <c r="N256">
        <v>96</v>
      </c>
      <c r="O256">
        <v>20</v>
      </c>
      <c r="P256">
        <v>0</v>
      </c>
      <c r="Q256">
        <v>0</v>
      </c>
      <c r="R256">
        <v>0</v>
      </c>
      <c r="S256">
        <v>0</v>
      </c>
    </row>
    <row r="257" spans="4:19" x14ac:dyDescent="0.3">
      <c r="D257">
        <v>6013528</v>
      </c>
      <c r="F257">
        <f t="shared" si="3"/>
        <v>87</v>
      </c>
      <c r="N257">
        <v>87</v>
      </c>
      <c r="O257">
        <v>0</v>
      </c>
      <c r="P257">
        <v>0</v>
      </c>
      <c r="Q257">
        <v>0</v>
      </c>
      <c r="R257">
        <v>0</v>
      </c>
      <c r="S257">
        <v>0</v>
      </c>
    </row>
    <row r="258" spans="4:19" x14ac:dyDescent="0.3">
      <c r="D258">
        <v>6013530</v>
      </c>
      <c r="F258">
        <f t="shared" si="3"/>
        <v>39</v>
      </c>
      <c r="N258">
        <v>39</v>
      </c>
      <c r="O258">
        <v>0</v>
      </c>
      <c r="P258">
        <v>0</v>
      </c>
      <c r="Q258">
        <v>0</v>
      </c>
      <c r="R258">
        <v>0</v>
      </c>
      <c r="S258">
        <v>0</v>
      </c>
    </row>
    <row r="259" spans="4:19" x14ac:dyDescent="0.3">
      <c r="D259">
        <v>6013678</v>
      </c>
      <c r="F259">
        <f t="shared" ref="F259:F322" si="4">SUMIF(N259:S259,"&gt;=0")</f>
        <v>904</v>
      </c>
      <c r="N259">
        <v>904</v>
      </c>
      <c r="O259">
        <v>0</v>
      </c>
      <c r="P259">
        <v>0</v>
      </c>
      <c r="Q259">
        <v>0</v>
      </c>
      <c r="R259">
        <v>0</v>
      </c>
      <c r="S259">
        <v>0</v>
      </c>
    </row>
    <row r="260" spans="4:19" x14ac:dyDescent="0.3">
      <c r="D260">
        <v>6014498</v>
      </c>
      <c r="F260">
        <f t="shared" si="4"/>
        <v>143</v>
      </c>
      <c r="N260">
        <v>143</v>
      </c>
      <c r="O260">
        <v>0</v>
      </c>
      <c r="P260">
        <v>0</v>
      </c>
      <c r="Q260">
        <v>0</v>
      </c>
      <c r="R260">
        <v>0</v>
      </c>
      <c r="S260">
        <v>0</v>
      </c>
    </row>
    <row r="261" spans="4:19" x14ac:dyDescent="0.3">
      <c r="D261">
        <v>6014499</v>
      </c>
      <c r="F261">
        <f t="shared" si="4"/>
        <v>95</v>
      </c>
      <c r="N261">
        <v>95</v>
      </c>
      <c r="O261">
        <v>0</v>
      </c>
      <c r="P261">
        <v>0</v>
      </c>
      <c r="Q261">
        <v>0</v>
      </c>
      <c r="R261">
        <v>0</v>
      </c>
      <c r="S261">
        <v>0</v>
      </c>
    </row>
    <row r="262" spans="4:19" x14ac:dyDescent="0.3">
      <c r="D262">
        <v>6015115</v>
      </c>
      <c r="F262">
        <f t="shared" si="4"/>
        <v>400</v>
      </c>
      <c r="N262">
        <v>400</v>
      </c>
      <c r="O262">
        <v>0</v>
      </c>
      <c r="P262">
        <v>0</v>
      </c>
      <c r="Q262">
        <v>0</v>
      </c>
      <c r="R262">
        <v>0</v>
      </c>
      <c r="S262">
        <v>0</v>
      </c>
    </row>
    <row r="263" spans="4:19" x14ac:dyDescent="0.3">
      <c r="D263">
        <v>6016003</v>
      </c>
      <c r="F263">
        <f t="shared" si="4"/>
        <v>116</v>
      </c>
      <c r="N263">
        <v>116</v>
      </c>
      <c r="O263">
        <v>0</v>
      </c>
      <c r="P263">
        <v>0</v>
      </c>
      <c r="Q263">
        <v>0</v>
      </c>
      <c r="R263">
        <v>0</v>
      </c>
      <c r="S263">
        <v>0</v>
      </c>
    </row>
    <row r="264" spans="4:19" x14ac:dyDescent="0.3">
      <c r="D264">
        <v>6016035</v>
      </c>
      <c r="F264">
        <f t="shared" si="4"/>
        <v>44</v>
      </c>
      <c r="N264">
        <v>44</v>
      </c>
      <c r="O264">
        <v>0</v>
      </c>
      <c r="P264">
        <v>0</v>
      </c>
      <c r="Q264">
        <v>0</v>
      </c>
      <c r="R264">
        <v>0</v>
      </c>
      <c r="S264">
        <v>0</v>
      </c>
    </row>
    <row r="265" spans="4:19" x14ac:dyDescent="0.3">
      <c r="D265">
        <v>6016066</v>
      </c>
      <c r="F265">
        <f t="shared" si="4"/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</row>
    <row r="266" spans="4:19" x14ac:dyDescent="0.3">
      <c r="D266">
        <v>6016122</v>
      </c>
      <c r="F266">
        <f t="shared" si="4"/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</row>
    <row r="267" spans="4:19" x14ac:dyDescent="0.3">
      <c r="D267">
        <v>6016604</v>
      </c>
      <c r="F267">
        <f t="shared" si="4"/>
        <v>158</v>
      </c>
      <c r="N267">
        <v>8</v>
      </c>
      <c r="O267">
        <v>150</v>
      </c>
      <c r="P267">
        <v>0</v>
      </c>
      <c r="Q267">
        <v>0</v>
      </c>
      <c r="R267">
        <v>0</v>
      </c>
      <c r="S267">
        <v>0</v>
      </c>
    </row>
    <row r="268" spans="4:19" x14ac:dyDescent="0.3">
      <c r="D268">
        <v>6016605</v>
      </c>
      <c r="F268">
        <f t="shared" si="4"/>
        <v>306</v>
      </c>
      <c r="N268">
        <v>306</v>
      </c>
      <c r="O268">
        <v>0</v>
      </c>
      <c r="P268">
        <v>0</v>
      </c>
      <c r="Q268">
        <v>0</v>
      </c>
      <c r="R268">
        <v>0</v>
      </c>
      <c r="S268">
        <v>0</v>
      </c>
    </row>
    <row r="269" spans="4:19" x14ac:dyDescent="0.3">
      <c r="D269">
        <v>6016606</v>
      </c>
      <c r="F269">
        <f t="shared" si="4"/>
        <v>336</v>
      </c>
      <c r="N269">
        <v>336</v>
      </c>
      <c r="O269">
        <v>0</v>
      </c>
      <c r="P269">
        <v>0</v>
      </c>
      <c r="Q269">
        <v>0</v>
      </c>
      <c r="R269">
        <v>0</v>
      </c>
      <c r="S269">
        <v>0</v>
      </c>
    </row>
    <row r="270" spans="4:19" x14ac:dyDescent="0.3">
      <c r="D270">
        <v>6016607</v>
      </c>
      <c r="F270">
        <f t="shared" si="4"/>
        <v>179</v>
      </c>
      <c r="N270">
        <v>179</v>
      </c>
      <c r="O270">
        <v>0</v>
      </c>
      <c r="P270">
        <v>0</v>
      </c>
      <c r="Q270">
        <v>0</v>
      </c>
      <c r="R270">
        <v>0</v>
      </c>
      <c r="S270">
        <v>0</v>
      </c>
    </row>
    <row r="271" spans="4:19" x14ac:dyDescent="0.3">
      <c r="D271">
        <v>6016608</v>
      </c>
      <c r="F271">
        <f t="shared" si="4"/>
        <v>112</v>
      </c>
      <c r="N271">
        <v>112</v>
      </c>
      <c r="O271">
        <v>0</v>
      </c>
      <c r="P271">
        <v>0</v>
      </c>
      <c r="Q271">
        <v>0</v>
      </c>
      <c r="R271">
        <v>0</v>
      </c>
      <c r="S271">
        <v>0</v>
      </c>
    </row>
    <row r="272" spans="4:19" x14ac:dyDescent="0.3">
      <c r="D272">
        <v>6016610</v>
      </c>
      <c r="F272">
        <f t="shared" si="4"/>
        <v>69</v>
      </c>
      <c r="N272">
        <v>69</v>
      </c>
      <c r="O272">
        <v>0</v>
      </c>
      <c r="P272">
        <v>0</v>
      </c>
      <c r="Q272">
        <v>0</v>
      </c>
      <c r="R272">
        <v>0</v>
      </c>
      <c r="S272">
        <v>0</v>
      </c>
    </row>
    <row r="273" spans="4:19" x14ac:dyDescent="0.3">
      <c r="D273">
        <v>6016611</v>
      </c>
      <c r="F273">
        <f t="shared" si="4"/>
        <v>86</v>
      </c>
      <c r="N273">
        <v>86</v>
      </c>
      <c r="O273">
        <v>0</v>
      </c>
      <c r="P273">
        <v>0</v>
      </c>
      <c r="Q273">
        <v>0</v>
      </c>
      <c r="R273">
        <v>0</v>
      </c>
      <c r="S273">
        <v>0</v>
      </c>
    </row>
    <row r="274" spans="4:19" x14ac:dyDescent="0.3">
      <c r="D274">
        <v>6016612</v>
      </c>
      <c r="F274">
        <f t="shared" si="4"/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</row>
    <row r="275" spans="4:19" x14ac:dyDescent="0.3">
      <c r="D275">
        <v>6017413</v>
      </c>
      <c r="F275">
        <f t="shared" si="4"/>
        <v>2233</v>
      </c>
      <c r="N275" s="3">
        <v>2233</v>
      </c>
      <c r="O275">
        <v>0</v>
      </c>
      <c r="P275">
        <v>0</v>
      </c>
      <c r="Q275">
        <v>0</v>
      </c>
      <c r="R275">
        <v>0</v>
      </c>
      <c r="S275">
        <v>0</v>
      </c>
    </row>
    <row r="276" spans="4:19" x14ac:dyDescent="0.3">
      <c r="D276">
        <v>6017429</v>
      </c>
      <c r="F276">
        <f t="shared" si="4"/>
        <v>5</v>
      </c>
      <c r="N276">
        <v>2</v>
      </c>
      <c r="O276">
        <v>3</v>
      </c>
      <c r="P276">
        <v>0</v>
      </c>
      <c r="Q276">
        <v>0</v>
      </c>
      <c r="R276">
        <v>0</v>
      </c>
      <c r="S276">
        <v>0</v>
      </c>
    </row>
    <row r="277" spans="4:19" x14ac:dyDescent="0.3">
      <c r="D277">
        <v>6017430</v>
      </c>
      <c r="F277">
        <f t="shared" si="4"/>
        <v>13</v>
      </c>
      <c r="N277">
        <v>13</v>
      </c>
      <c r="O277">
        <v>0</v>
      </c>
      <c r="P277">
        <v>0</v>
      </c>
      <c r="Q277">
        <v>0</v>
      </c>
      <c r="R277">
        <v>0</v>
      </c>
      <c r="S277">
        <v>0</v>
      </c>
    </row>
    <row r="278" spans="4:19" x14ac:dyDescent="0.3">
      <c r="D278">
        <v>6017454</v>
      </c>
      <c r="F278">
        <f t="shared" si="4"/>
        <v>19</v>
      </c>
      <c r="N278">
        <v>19</v>
      </c>
      <c r="O278">
        <v>0</v>
      </c>
      <c r="P278">
        <v>0</v>
      </c>
      <c r="Q278">
        <v>0</v>
      </c>
      <c r="R278">
        <v>0</v>
      </c>
      <c r="S278">
        <v>0</v>
      </c>
    </row>
    <row r="279" spans="4:19" x14ac:dyDescent="0.3">
      <c r="D279">
        <v>6017582</v>
      </c>
      <c r="F279">
        <f t="shared" si="4"/>
        <v>112</v>
      </c>
      <c r="N279">
        <v>112</v>
      </c>
      <c r="O279">
        <v>0</v>
      </c>
      <c r="P279">
        <v>0</v>
      </c>
      <c r="Q279">
        <v>0</v>
      </c>
      <c r="R279">
        <v>0</v>
      </c>
      <c r="S279">
        <v>0</v>
      </c>
    </row>
    <row r="280" spans="4:19" x14ac:dyDescent="0.3">
      <c r="D280">
        <v>6017614</v>
      </c>
      <c r="F280">
        <f t="shared" si="4"/>
        <v>35</v>
      </c>
      <c r="N280">
        <v>35</v>
      </c>
      <c r="O280">
        <v>0</v>
      </c>
      <c r="P280">
        <v>0</v>
      </c>
      <c r="Q280">
        <v>0</v>
      </c>
      <c r="R280">
        <v>0</v>
      </c>
      <c r="S280">
        <v>0</v>
      </c>
    </row>
    <row r="281" spans="4:19" x14ac:dyDescent="0.3">
      <c r="D281">
        <v>6017616</v>
      </c>
      <c r="F281">
        <f t="shared" si="4"/>
        <v>169</v>
      </c>
      <c r="N281">
        <v>169</v>
      </c>
      <c r="O281">
        <v>0</v>
      </c>
      <c r="P281">
        <v>0</v>
      </c>
      <c r="Q281">
        <v>0</v>
      </c>
      <c r="R281">
        <v>0</v>
      </c>
      <c r="S281">
        <v>0</v>
      </c>
    </row>
    <row r="282" spans="4:19" x14ac:dyDescent="0.3">
      <c r="D282">
        <v>6017698</v>
      </c>
      <c r="F282">
        <f t="shared" si="4"/>
        <v>512</v>
      </c>
      <c r="N282">
        <v>512</v>
      </c>
      <c r="O282">
        <v>0</v>
      </c>
      <c r="P282">
        <v>0</v>
      </c>
      <c r="Q282">
        <v>0</v>
      </c>
      <c r="R282">
        <v>0</v>
      </c>
      <c r="S282">
        <v>0</v>
      </c>
    </row>
    <row r="283" spans="4:19" x14ac:dyDescent="0.3">
      <c r="D283">
        <v>6017700</v>
      </c>
      <c r="F283">
        <f t="shared" si="4"/>
        <v>116</v>
      </c>
      <c r="N283">
        <v>116</v>
      </c>
      <c r="O283">
        <v>0</v>
      </c>
      <c r="P283">
        <v>0</v>
      </c>
      <c r="Q283">
        <v>0</v>
      </c>
      <c r="R283">
        <v>0</v>
      </c>
      <c r="S283">
        <v>0</v>
      </c>
    </row>
    <row r="284" spans="4:19" x14ac:dyDescent="0.3">
      <c r="D284">
        <v>6017726</v>
      </c>
      <c r="F284">
        <f t="shared" si="4"/>
        <v>43</v>
      </c>
      <c r="N284">
        <v>43</v>
      </c>
      <c r="O284">
        <v>0</v>
      </c>
      <c r="P284">
        <v>0</v>
      </c>
      <c r="Q284">
        <v>0</v>
      </c>
      <c r="R284">
        <v>0</v>
      </c>
      <c r="S284">
        <v>0</v>
      </c>
    </row>
    <row r="285" spans="4:19" x14ac:dyDescent="0.3">
      <c r="D285">
        <v>6018496</v>
      </c>
      <c r="F285">
        <f t="shared" si="4"/>
        <v>51</v>
      </c>
      <c r="N285">
        <v>51</v>
      </c>
      <c r="O285">
        <v>0</v>
      </c>
      <c r="P285">
        <v>0</v>
      </c>
      <c r="Q285">
        <v>0</v>
      </c>
      <c r="R285">
        <v>0</v>
      </c>
      <c r="S285">
        <v>0</v>
      </c>
    </row>
    <row r="286" spans="4:19" x14ac:dyDescent="0.3">
      <c r="D286">
        <v>6019197</v>
      </c>
      <c r="F286">
        <f t="shared" si="4"/>
        <v>237</v>
      </c>
      <c r="N286">
        <v>237</v>
      </c>
      <c r="O286">
        <v>0</v>
      </c>
      <c r="P286">
        <v>0</v>
      </c>
      <c r="Q286">
        <v>0</v>
      </c>
      <c r="R286">
        <v>0</v>
      </c>
      <c r="S286">
        <v>0</v>
      </c>
    </row>
    <row r="287" spans="4:19" x14ac:dyDescent="0.3">
      <c r="D287" t="s">
        <v>183</v>
      </c>
      <c r="F287">
        <f t="shared" si="4"/>
        <v>164</v>
      </c>
      <c r="N287">
        <v>164</v>
      </c>
      <c r="O287">
        <v>0</v>
      </c>
      <c r="P287">
        <v>0</v>
      </c>
      <c r="Q287">
        <v>0</v>
      </c>
      <c r="R287">
        <v>0</v>
      </c>
      <c r="S287">
        <v>0</v>
      </c>
    </row>
    <row r="288" spans="4:19" x14ac:dyDescent="0.3">
      <c r="D288" t="s">
        <v>12</v>
      </c>
      <c r="F288">
        <f t="shared" si="4"/>
        <v>54</v>
      </c>
      <c r="N288">
        <v>54</v>
      </c>
      <c r="O288">
        <v>0</v>
      </c>
      <c r="P288">
        <v>0</v>
      </c>
      <c r="Q288">
        <v>0</v>
      </c>
      <c r="R288">
        <v>0</v>
      </c>
      <c r="S288">
        <v>0</v>
      </c>
    </row>
    <row r="289" spans="4:19" x14ac:dyDescent="0.3">
      <c r="D289" t="s">
        <v>33</v>
      </c>
      <c r="F289">
        <f t="shared" si="4"/>
        <v>58</v>
      </c>
      <c r="N289">
        <v>58</v>
      </c>
      <c r="O289">
        <v>0</v>
      </c>
      <c r="P289">
        <v>0</v>
      </c>
      <c r="Q289">
        <v>0</v>
      </c>
      <c r="R289">
        <v>0</v>
      </c>
      <c r="S289">
        <v>0</v>
      </c>
    </row>
    <row r="290" spans="4:19" x14ac:dyDescent="0.3">
      <c r="D290" t="s">
        <v>184</v>
      </c>
      <c r="F290">
        <f t="shared" si="4"/>
        <v>623</v>
      </c>
      <c r="N290">
        <v>623</v>
      </c>
      <c r="O290">
        <v>0</v>
      </c>
      <c r="P290">
        <v>0</v>
      </c>
      <c r="Q290">
        <v>0</v>
      </c>
      <c r="R290">
        <v>0</v>
      </c>
      <c r="S290">
        <v>0</v>
      </c>
    </row>
    <row r="291" spans="4:19" x14ac:dyDescent="0.3">
      <c r="D291" t="s">
        <v>172</v>
      </c>
      <c r="F291">
        <f t="shared" si="4"/>
        <v>30</v>
      </c>
      <c r="N291">
        <v>30</v>
      </c>
      <c r="O291">
        <v>0</v>
      </c>
      <c r="P291">
        <v>0</v>
      </c>
      <c r="Q291">
        <v>0</v>
      </c>
      <c r="R291">
        <v>0</v>
      </c>
      <c r="S291">
        <v>0</v>
      </c>
    </row>
    <row r="292" spans="4:19" x14ac:dyDescent="0.3">
      <c r="D292" t="s">
        <v>13</v>
      </c>
      <c r="F292">
        <f t="shared" si="4"/>
        <v>4</v>
      </c>
      <c r="N292">
        <v>4</v>
      </c>
      <c r="O292">
        <v>0</v>
      </c>
      <c r="P292">
        <v>0</v>
      </c>
      <c r="Q292">
        <v>0</v>
      </c>
      <c r="R292">
        <v>0</v>
      </c>
      <c r="S292">
        <v>0</v>
      </c>
    </row>
    <row r="293" spans="4:19" x14ac:dyDescent="0.3">
      <c r="D293" t="s">
        <v>28</v>
      </c>
      <c r="F293">
        <f t="shared" si="4"/>
        <v>2</v>
      </c>
      <c r="N293">
        <v>2</v>
      </c>
      <c r="O293">
        <v>0</v>
      </c>
      <c r="P293">
        <v>0</v>
      </c>
      <c r="Q293">
        <v>0</v>
      </c>
      <c r="R293">
        <v>0</v>
      </c>
      <c r="S293">
        <v>0</v>
      </c>
    </row>
    <row r="294" spans="4:19" x14ac:dyDescent="0.3">
      <c r="D294" t="s">
        <v>14</v>
      </c>
      <c r="F294">
        <f t="shared" si="4"/>
        <v>15</v>
      </c>
      <c r="N294">
        <v>15</v>
      </c>
      <c r="O294">
        <v>0</v>
      </c>
      <c r="P294">
        <v>0</v>
      </c>
      <c r="Q294">
        <v>0</v>
      </c>
      <c r="R294">
        <v>0</v>
      </c>
      <c r="S294">
        <v>0</v>
      </c>
    </row>
    <row r="295" spans="4:19" x14ac:dyDescent="0.3">
      <c r="D295" t="s">
        <v>24</v>
      </c>
      <c r="F295">
        <f t="shared" si="4"/>
        <v>95</v>
      </c>
      <c r="N295">
        <v>95</v>
      </c>
      <c r="O295">
        <v>0</v>
      </c>
      <c r="P295">
        <v>0</v>
      </c>
      <c r="Q295">
        <v>0</v>
      </c>
      <c r="R295">
        <v>0</v>
      </c>
      <c r="S295">
        <v>0</v>
      </c>
    </row>
    <row r="296" spans="4:19" x14ac:dyDescent="0.3">
      <c r="D296" t="s">
        <v>15</v>
      </c>
      <c r="F296">
        <f t="shared" si="4"/>
        <v>34</v>
      </c>
      <c r="N296">
        <v>34</v>
      </c>
      <c r="O296">
        <v>0</v>
      </c>
      <c r="P296">
        <v>0</v>
      </c>
      <c r="Q296">
        <v>0</v>
      </c>
      <c r="R296">
        <v>0</v>
      </c>
      <c r="S296">
        <v>0</v>
      </c>
    </row>
    <row r="297" spans="4:19" x14ac:dyDescent="0.3">
      <c r="D297" t="s">
        <v>179</v>
      </c>
      <c r="F297">
        <f t="shared" si="4"/>
        <v>28</v>
      </c>
      <c r="N297">
        <v>28</v>
      </c>
      <c r="O297">
        <v>0</v>
      </c>
      <c r="P297">
        <v>0</v>
      </c>
      <c r="Q297">
        <v>0</v>
      </c>
      <c r="R297">
        <v>0</v>
      </c>
      <c r="S297">
        <v>0</v>
      </c>
    </row>
    <row r="298" spans="4:19" x14ac:dyDescent="0.3">
      <c r="D298" t="s">
        <v>180</v>
      </c>
      <c r="F298">
        <f t="shared" si="4"/>
        <v>11</v>
      </c>
      <c r="N298">
        <v>11</v>
      </c>
      <c r="O298">
        <v>0</v>
      </c>
      <c r="P298">
        <v>0</v>
      </c>
      <c r="Q298">
        <v>0</v>
      </c>
      <c r="R298">
        <v>0</v>
      </c>
      <c r="S298">
        <v>0</v>
      </c>
    </row>
    <row r="299" spans="4:19" x14ac:dyDescent="0.3">
      <c r="D299" t="s">
        <v>38</v>
      </c>
      <c r="F299">
        <f t="shared" si="4"/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</row>
    <row r="300" spans="4:19" x14ac:dyDescent="0.3">
      <c r="D300" t="s">
        <v>25</v>
      </c>
      <c r="F300">
        <f t="shared" si="4"/>
        <v>14</v>
      </c>
      <c r="N300">
        <v>14</v>
      </c>
      <c r="O300">
        <v>0</v>
      </c>
      <c r="P300">
        <v>0</v>
      </c>
      <c r="Q300">
        <v>0</v>
      </c>
      <c r="R300">
        <v>0</v>
      </c>
      <c r="S300">
        <v>0</v>
      </c>
    </row>
    <row r="301" spans="4:19" x14ac:dyDescent="0.3">
      <c r="D301" t="s">
        <v>16</v>
      </c>
      <c r="F301">
        <f t="shared" si="4"/>
        <v>146</v>
      </c>
      <c r="N301">
        <v>146</v>
      </c>
      <c r="O301">
        <v>0</v>
      </c>
      <c r="P301">
        <v>0</v>
      </c>
      <c r="Q301">
        <v>0</v>
      </c>
      <c r="R301">
        <v>0</v>
      </c>
      <c r="S301">
        <v>0</v>
      </c>
    </row>
    <row r="302" spans="4:19" x14ac:dyDescent="0.3">
      <c r="D302" t="s">
        <v>182</v>
      </c>
      <c r="F302">
        <f t="shared" si="4"/>
        <v>103</v>
      </c>
      <c r="N302">
        <v>103</v>
      </c>
      <c r="O302">
        <v>0</v>
      </c>
      <c r="P302">
        <v>0</v>
      </c>
      <c r="Q302">
        <v>0</v>
      </c>
      <c r="R302">
        <v>0</v>
      </c>
      <c r="S302">
        <v>0</v>
      </c>
    </row>
    <row r="303" spans="4:19" x14ac:dyDescent="0.3">
      <c r="D303" t="s">
        <v>26</v>
      </c>
      <c r="F303">
        <f t="shared" si="4"/>
        <v>12</v>
      </c>
      <c r="N303">
        <v>12</v>
      </c>
      <c r="O303">
        <v>0</v>
      </c>
      <c r="P303">
        <v>0</v>
      </c>
      <c r="Q303">
        <v>0</v>
      </c>
      <c r="R303">
        <v>0</v>
      </c>
      <c r="S303">
        <v>0</v>
      </c>
    </row>
    <row r="304" spans="4:19" x14ac:dyDescent="0.3">
      <c r="D304" t="s">
        <v>27</v>
      </c>
      <c r="F304">
        <f t="shared" si="4"/>
        <v>10</v>
      </c>
      <c r="N304">
        <v>10</v>
      </c>
      <c r="O304">
        <v>0</v>
      </c>
      <c r="P304">
        <v>0</v>
      </c>
      <c r="Q304">
        <v>0</v>
      </c>
      <c r="R304">
        <v>0</v>
      </c>
      <c r="S304">
        <v>0</v>
      </c>
    </row>
    <row r="305" spans="4:19" x14ac:dyDescent="0.3">
      <c r="D305" s="80">
        <v>6.0099999999999998E+307</v>
      </c>
      <c r="F305">
        <f t="shared" si="4"/>
        <v>50</v>
      </c>
      <c r="N305">
        <v>50</v>
      </c>
      <c r="O305">
        <v>0</v>
      </c>
      <c r="P305">
        <v>0</v>
      </c>
      <c r="Q305">
        <v>0</v>
      </c>
      <c r="R305">
        <v>0</v>
      </c>
      <c r="S305">
        <v>0</v>
      </c>
    </row>
    <row r="306" spans="4:19" x14ac:dyDescent="0.3">
      <c r="D306">
        <v>6024116</v>
      </c>
      <c r="F306">
        <f t="shared" si="4"/>
        <v>3</v>
      </c>
      <c r="N306">
        <v>3</v>
      </c>
      <c r="O306">
        <v>0</v>
      </c>
      <c r="P306">
        <v>0</v>
      </c>
      <c r="Q306">
        <v>0</v>
      </c>
      <c r="R306">
        <v>0</v>
      </c>
      <c r="S306">
        <v>0</v>
      </c>
    </row>
    <row r="307" spans="4:19" x14ac:dyDescent="0.3">
      <c r="D307">
        <v>6024117</v>
      </c>
      <c r="F307">
        <f t="shared" si="4"/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</row>
    <row r="308" spans="4:19" x14ac:dyDescent="0.3">
      <c r="D308">
        <v>6032326</v>
      </c>
      <c r="F308">
        <f t="shared" si="4"/>
        <v>16</v>
      </c>
      <c r="N308">
        <v>16</v>
      </c>
      <c r="O308">
        <v>0</v>
      </c>
      <c r="P308">
        <v>0</v>
      </c>
      <c r="Q308">
        <v>0</v>
      </c>
      <c r="R308">
        <v>0</v>
      </c>
      <c r="S308">
        <v>0</v>
      </c>
    </row>
    <row r="309" spans="4:19" x14ac:dyDescent="0.3">
      <c r="D309">
        <v>6032513</v>
      </c>
      <c r="F309">
        <f t="shared" si="4"/>
        <v>3</v>
      </c>
      <c r="N309">
        <v>3</v>
      </c>
      <c r="O309">
        <v>0</v>
      </c>
      <c r="P309">
        <v>0</v>
      </c>
      <c r="Q309">
        <v>0</v>
      </c>
      <c r="R309">
        <v>0</v>
      </c>
      <c r="S309">
        <v>0</v>
      </c>
    </row>
    <row r="310" spans="4:19" x14ac:dyDescent="0.3">
      <c r="D310">
        <v>6034005</v>
      </c>
      <c r="F310">
        <f t="shared" si="4"/>
        <v>7</v>
      </c>
      <c r="N310">
        <v>7</v>
      </c>
      <c r="O310">
        <v>0</v>
      </c>
      <c r="P310">
        <v>0</v>
      </c>
      <c r="Q310">
        <v>0</v>
      </c>
      <c r="R310">
        <v>0</v>
      </c>
      <c r="S310">
        <v>0</v>
      </c>
    </row>
    <row r="311" spans="4:19" x14ac:dyDescent="0.3">
      <c r="D311">
        <v>6034007</v>
      </c>
      <c r="F311">
        <f t="shared" si="4"/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</row>
    <row r="312" spans="4:19" x14ac:dyDescent="0.3">
      <c r="D312">
        <v>6034014</v>
      </c>
      <c r="F312">
        <f t="shared" si="4"/>
        <v>2</v>
      </c>
      <c r="N312">
        <v>2</v>
      </c>
      <c r="O312">
        <v>0</v>
      </c>
      <c r="P312">
        <v>0</v>
      </c>
      <c r="Q312">
        <v>0</v>
      </c>
      <c r="R312">
        <v>0</v>
      </c>
      <c r="S312">
        <v>0</v>
      </c>
    </row>
    <row r="313" spans="4:19" x14ac:dyDescent="0.3">
      <c r="D313">
        <v>6038324</v>
      </c>
      <c r="F313">
        <f t="shared" si="4"/>
        <v>12</v>
      </c>
      <c r="N313">
        <v>12</v>
      </c>
      <c r="O313">
        <v>0</v>
      </c>
      <c r="P313">
        <v>0</v>
      </c>
      <c r="Q313">
        <v>0</v>
      </c>
      <c r="R313">
        <v>0</v>
      </c>
      <c r="S313">
        <v>0</v>
      </c>
    </row>
    <row r="314" spans="4:19" x14ac:dyDescent="0.3">
      <c r="D314">
        <v>6041030</v>
      </c>
      <c r="F314">
        <f t="shared" si="4"/>
        <v>1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</row>
    <row r="315" spans="4:19" x14ac:dyDescent="0.3">
      <c r="D315">
        <v>6041222</v>
      </c>
      <c r="F315">
        <f t="shared" si="4"/>
        <v>8</v>
      </c>
      <c r="N315">
        <v>8</v>
      </c>
      <c r="O315">
        <v>0</v>
      </c>
      <c r="P315">
        <v>0</v>
      </c>
      <c r="Q315">
        <v>0</v>
      </c>
      <c r="R315">
        <v>0</v>
      </c>
      <c r="S315">
        <v>0</v>
      </c>
    </row>
    <row r="316" spans="4:19" x14ac:dyDescent="0.3">
      <c r="D316">
        <v>6043711</v>
      </c>
      <c r="F316">
        <f t="shared" si="4"/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</row>
    <row r="317" spans="4:19" x14ac:dyDescent="0.3">
      <c r="D317">
        <v>6043735</v>
      </c>
      <c r="F317">
        <f t="shared" si="4"/>
        <v>29</v>
      </c>
      <c r="N317">
        <v>29</v>
      </c>
      <c r="O317">
        <v>0</v>
      </c>
      <c r="P317">
        <v>0</v>
      </c>
      <c r="Q317">
        <v>0</v>
      </c>
      <c r="R317">
        <v>0</v>
      </c>
      <c r="S317">
        <v>0</v>
      </c>
    </row>
    <row r="318" spans="4:19" x14ac:dyDescent="0.3">
      <c r="D318">
        <v>6044233</v>
      </c>
      <c r="F318">
        <f t="shared" si="4"/>
        <v>94</v>
      </c>
      <c r="N318">
        <v>94</v>
      </c>
      <c r="O318">
        <v>0</v>
      </c>
      <c r="P318">
        <v>0</v>
      </c>
      <c r="Q318">
        <v>0</v>
      </c>
      <c r="R318">
        <v>0</v>
      </c>
      <c r="S318">
        <v>0</v>
      </c>
    </row>
    <row r="319" spans="4:19" x14ac:dyDescent="0.3">
      <c r="D319">
        <v>6044234</v>
      </c>
      <c r="F319">
        <f t="shared" si="4"/>
        <v>6</v>
      </c>
      <c r="N319">
        <v>6</v>
      </c>
      <c r="O319">
        <v>0</v>
      </c>
      <c r="P319">
        <v>0</v>
      </c>
      <c r="Q319">
        <v>0</v>
      </c>
      <c r="R319">
        <v>0</v>
      </c>
      <c r="S319">
        <v>0</v>
      </c>
    </row>
    <row r="320" spans="4:19" x14ac:dyDescent="0.3">
      <c r="D320">
        <v>6044235</v>
      </c>
      <c r="F320">
        <f t="shared" si="4"/>
        <v>33</v>
      </c>
      <c r="N320">
        <v>33</v>
      </c>
      <c r="O320">
        <v>0</v>
      </c>
      <c r="P320">
        <v>0</v>
      </c>
      <c r="Q320">
        <v>0</v>
      </c>
      <c r="R320">
        <v>0</v>
      </c>
      <c r="S320">
        <v>0</v>
      </c>
    </row>
    <row r="321" spans="4:19" x14ac:dyDescent="0.3">
      <c r="D321">
        <v>6044237</v>
      </c>
      <c r="F321">
        <f t="shared" si="4"/>
        <v>161</v>
      </c>
      <c r="N321">
        <v>161</v>
      </c>
      <c r="O321">
        <v>0</v>
      </c>
      <c r="P321">
        <v>0</v>
      </c>
      <c r="Q321">
        <v>0</v>
      </c>
      <c r="R321">
        <v>0</v>
      </c>
      <c r="S321">
        <v>0</v>
      </c>
    </row>
    <row r="322" spans="4:19" x14ac:dyDescent="0.3">
      <c r="D322">
        <v>6044382</v>
      </c>
      <c r="F322">
        <f t="shared" si="4"/>
        <v>93</v>
      </c>
      <c r="N322">
        <v>93</v>
      </c>
      <c r="O322">
        <v>0</v>
      </c>
      <c r="P322">
        <v>0</v>
      </c>
      <c r="Q322">
        <v>0</v>
      </c>
      <c r="R322">
        <v>0</v>
      </c>
      <c r="S322">
        <v>0</v>
      </c>
    </row>
    <row r="323" spans="4:19" x14ac:dyDescent="0.3">
      <c r="D323">
        <v>6044401</v>
      </c>
      <c r="F323">
        <f t="shared" ref="F323:F386" si="5">SUMIF(N323:S323,"&gt;=0")</f>
        <v>58</v>
      </c>
      <c r="N323">
        <v>58</v>
      </c>
      <c r="O323">
        <v>0</v>
      </c>
      <c r="P323">
        <v>0</v>
      </c>
      <c r="Q323">
        <v>0</v>
      </c>
      <c r="R323">
        <v>0</v>
      </c>
      <c r="S323">
        <v>0</v>
      </c>
    </row>
    <row r="324" spans="4:19" x14ac:dyDescent="0.3">
      <c r="D324">
        <v>6044406</v>
      </c>
      <c r="F324">
        <f t="shared" si="5"/>
        <v>29</v>
      </c>
      <c r="N324">
        <v>24</v>
      </c>
      <c r="O324">
        <v>5</v>
      </c>
      <c r="P324">
        <v>0</v>
      </c>
      <c r="Q324">
        <v>0</v>
      </c>
      <c r="R324">
        <v>0</v>
      </c>
      <c r="S324">
        <v>0</v>
      </c>
    </row>
    <row r="325" spans="4:19" x14ac:dyDescent="0.3">
      <c r="D325">
        <v>6044994</v>
      </c>
      <c r="F325">
        <f t="shared" si="5"/>
        <v>1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0</v>
      </c>
    </row>
    <row r="326" spans="4:19" x14ac:dyDescent="0.3">
      <c r="D326">
        <v>6045418</v>
      </c>
      <c r="F326">
        <f t="shared" si="5"/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</row>
    <row r="327" spans="4:19" x14ac:dyDescent="0.3">
      <c r="D327">
        <v>6045421</v>
      </c>
      <c r="F327">
        <f t="shared" si="5"/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</row>
    <row r="328" spans="4:19" x14ac:dyDescent="0.3">
      <c r="D328">
        <v>6045459</v>
      </c>
      <c r="F328">
        <f t="shared" si="5"/>
        <v>2</v>
      </c>
      <c r="N328">
        <v>2</v>
      </c>
      <c r="O328">
        <v>0</v>
      </c>
      <c r="P328">
        <v>0</v>
      </c>
      <c r="Q328">
        <v>0</v>
      </c>
      <c r="R328">
        <v>0</v>
      </c>
      <c r="S328">
        <v>0</v>
      </c>
    </row>
    <row r="329" spans="4:19" x14ac:dyDescent="0.3">
      <c r="D329">
        <v>6045475</v>
      </c>
      <c r="F329">
        <f t="shared" si="5"/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</row>
    <row r="330" spans="4:19" x14ac:dyDescent="0.3">
      <c r="D330">
        <v>6045586</v>
      </c>
      <c r="F330">
        <f t="shared" si="5"/>
        <v>12</v>
      </c>
      <c r="N330">
        <v>12</v>
      </c>
      <c r="O330">
        <v>0</v>
      </c>
      <c r="P330">
        <v>0</v>
      </c>
      <c r="Q330">
        <v>0</v>
      </c>
      <c r="R330">
        <v>0</v>
      </c>
      <c r="S330">
        <v>0</v>
      </c>
    </row>
    <row r="331" spans="4:19" x14ac:dyDescent="0.3">
      <c r="D331">
        <v>6045639</v>
      </c>
      <c r="F331">
        <f t="shared" si="5"/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</row>
    <row r="332" spans="4:19" x14ac:dyDescent="0.3">
      <c r="D332">
        <v>6048641</v>
      </c>
      <c r="F332">
        <f t="shared" si="5"/>
        <v>10</v>
      </c>
      <c r="N332">
        <v>10</v>
      </c>
      <c r="O332">
        <v>0</v>
      </c>
      <c r="P332">
        <v>0</v>
      </c>
      <c r="Q332">
        <v>0</v>
      </c>
      <c r="R332">
        <v>0</v>
      </c>
      <c r="S332">
        <v>0</v>
      </c>
    </row>
    <row r="333" spans="4:19" x14ac:dyDescent="0.3">
      <c r="D333">
        <v>6048700</v>
      </c>
      <c r="F333">
        <f t="shared" si="5"/>
        <v>1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0</v>
      </c>
    </row>
    <row r="334" spans="4:19" x14ac:dyDescent="0.3">
      <c r="D334">
        <v>6050080</v>
      </c>
      <c r="F334">
        <f t="shared" si="5"/>
        <v>3120</v>
      </c>
      <c r="N334" s="3">
        <v>3120</v>
      </c>
      <c r="O334">
        <v>0</v>
      </c>
      <c r="P334">
        <v>0</v>
      </c>
      <c r="Q334">
        <v>0</v>
      </c>
      <c r="R334">
        <v>0</v>
      </c>
      <c r="S334">
        <v>0</v>
      </c>
    </row>
    <row r="335" spans="4:19" x14ac:dyDescent="0.3">
      <c r="D335">
        <v>6050104</v>
      </c>
      <c r="F335">
        <f t="shared" si="5"/>
        <v>688</v>
      </c>
      <c r="N335">
        <v>688</v>
      </c>
      <c r="O335">
        <v>0</v>
      </c>
      <c r="P335">
        <v>0</v>
      </c>
      <c r="Q335">
        <v>0</v>
      </c>
      <c r="R335">
        <v>0</v>
      </c>
      <c r="S335">
        <v>0</v>
      </c>
    </row>
    <row r="336" spans="4:19" x14ac:dyDescent="0.3">
      <c r="D336">
        <v>6050198</v>
      </c>
      <c r="F336">
        <f t="shared" si="5"/>
        <v>65</v>
      </c>
      <c r="N336">
        <v>60</v>
      </c>
      <c r="O336">
        <v>5</v>
      </c>
      <c r="P336">
        <v>0</v>
      </c>
      <c r="Q336">
        <v>0</v>
      </c>
      <c r="R336">
        <v>0</v>
      </c>
      <c r="S336">
        <v>0</v>
      </c>
    </row>
    <row r="337" spans="4:19" x14ac:dyDescent="0.3">
      <c r="D337">
        <v>6050199</v>
      </c>
      <c r="F337">
        <f t="shared" si="5"/>
        <v>3</v>
      </c>
      <c r="N337">
        <v>3</v>
      </c>
      <c r="O337">
        <v>0</v>
      </c>
      <c r="P337">
        <v>0</v>
      </c>
      <c r="Q337">
        <v>0</v>
      </c>
      <c r="R337">
        <v>0</v>
      </c>
      <c r="S337">
        <v>0</v>
      </c>
    </row>
    <row r="338" spans="4:19" x14ac:dyDescent="0.3">
      <c r="D338">
        <v>6050200</v>
      </c>
      <c r="F338">
        <f t="shared" si="5"/>
        <v>27</v>
      </c>
      <c r="N338">
        <v>27</v>
      </c>
      <c r="O338">
        <v>0</v>
      </c>
      <c r="P338">
        <v>0</v>
      </c>
      <c r="Q338">
        <v>0</v>
      </c>
      <c r="R338">
        <v>0</v>
      </c>
      <c r="S338">
        <v>0</v>
      </c>
    </row>
    <row r="339" spans="4:19" x14ac:dyDescent="0.3">
      <c r="D339">
        <v>6051006400</v>
      </c>
      <c r="F339">
        <f t="shared" si="5"/>
        <v>521</v>
      </c>
      <c r="N339">
        <v>521</v>
      </c>
      <c r="O339">
        <v>0</v>
      </c>
      <c r="P339">
        <v>0</v>
      </c>
      <c r="Q339">
        <v>0</v>
      </c>
      <c r="R339">
        <v>0</v>
      </c>
      <c r="S339">
        <v>0</v>
      </c>
    </row>
    <row r="340" spans="4:19" x14ac:dyDescent="0.3">
      <c r="D340">
        <v>6051006500</v>
      </c>
      <c r="F340">
        <f t="shared" si="5"/>
        <v>144</v>
      </c>
      <c r="N340">
        <v>144</v>
      </c>
      <c r="O340">
        <v>0</v>
      </c>
      <c r="P340">
        <v>0</v>
      </c>
      <c r="Q340">
        <v>0</v>
      </c>
      <c r="R340">
        <v>0</v>
      </c>
      <c r="S340">
        <v>0</v>
      </c>
    </row>
    <row r="341" spans="4:19" x14ac:dyDescent="0.3">
      <c r="D341">
        <v>6051006900</v>
      </c>
      <c r="F341">
        <f t="shared" si="5"/>
        <v>222</v>
      </c>
      <c r="N341">
        <v>222</v>
      </c>
      <c r="O341">
        <v>0</v>
      </c>
      <c r="P341">
        <v>0</v>
      </c>
      <c r="Q341">
        <v>0</v>
      </c>
      <c r="R341">
        <v>0</v>
      </c>
      <c r="S341">
        <v>0</v>
      </c>
    </row>
    <row r="342" spans="4:19" x14ac:dyDescent="0.3">
      <c r="D342">
        <v>6051007000</v>
      </c>
      <c r="F342">
        <f t="shared" si="5"/>
        <v>237</v>
      </c>
      <c r="N342">
        <v>237</v>
      </c>
      <c r="O342">
        <v>0</v>
      </c>
      <c r="P342">
        <v>0</v>
      </c>
      <c r="Q342">
        <v>0</v>
      </c>
      <c r="R342">
        <v>0</v>
      </c>
      <c r="S342">
        <v>0</v>
      </c>
    </row>
    <row r="343" spans="4:19" x14ac:dyDescent="0.3">
      <c r="D343">
        <v>6051178</v>
      </c>
      <c r="F343">
        <f t="shared" si="5"/>
        <v>95</v>
      </c>
      <c r="N343">
        <v>83</v>
      </c>
      <c r="O343">
        <v>12</v>
      </c>
      <c r="P343">
        <v>0</v>
      </c>
      <c r="Q343">
        <v>0</v>
      </c>
      <c r="R343">
        <v>0</v>
      </c>
      <c r="S343">
        <v>0</v>
      </c>
    </row>
    <row r="344" spans="4:19" x14ac:dyDescent="0.3">
      <c r="D344">
        <v>6052257</v>
      </c>
      <c r="F344">
        <f t="shared" si="5"/>
        <v>374</v>
      </c>
      <c r="N344">
        <v>374</v>
      </c>
      <c r="O344">
        <v>0</v>
      </c>
      <c r="P344">
        <v>0</v>
      </c>
      <c r="Q344">
        <v>0</v>
      </c>
      <c r="R344">
        <v>0</v>
      </c>
      <c r="S344">
        <v>0</v>
      </c>
    </row>
    <row r="345" spans="4:19" x14ac:dyDescent="0.3">
      <c r="D345">
        <v>6052258</v>
      </c>
      <c r="F345">
        <f t="shared" si="5"/>
        <v>47</v>
      </c>
      <c r="N345">
        <v>47</v>
      </c>
      <c r="O345">
        <v>0</v>
      </c>
      <c r="P345">
        <v>0</v>
      </c>
      <c r="Q345">
        <v>0</v>
      </c>
      <c r="R345">
        <v>0</v>
      </c>
      <c r="S345">
        <v>0</v>
      </c>
    </row>
    <row r="346" spans="4:19" x14ac:dyDescent="0.3">
      <c r="D346">
        <v>6052634</v>
      </c>
      <c r="F346">
        <f t="shared" si="5"/>
        <v>7</v>
      </c>
      <c r="N346">
        <v>7</v>
      </c>
      <c r="O346">
        <v>0</v>
      </c>
      <c r="P346">
        <v>0</v>
      </c>
      <c r="Q346">
        <v>0</v>
      </c>
      <c r="R346">
        <v>0</v>
      </c>
      <c r="S346">
        <v>0</v>
      </c>
    </row>
    <row r="347" spans="4:19" x14ac:dyDescent="0.3">
      <c r="D347">
        <v>6052667</v>
      </c>
      <c r="F347">
        <f t="shared" si="5"/>
        <v>20</v>
      </c>
      <c r="N347">
        <v>20</v>
      </c>
      <c r="O347">
        <v>0</v>
      </c>
      <c r="P347">
        <v>0</v>
      </c>
      <c r="Q347">
        <v>0</v>
      </c>
      <c r="R347">
        <v>0</v>
      </c>
      <c r="S347">
        <v>0</v>
      </c>
    </row>
    <row r="348" spans="4:19" x14ac:dyDescent="0.3">
      <c r="D348">
        <v>6052695</v>
      </c>
      <c r="F348">
        <f t="shared" si="5"/>
        <v>15</v>
      </c>
      <c r="N348">
        <v>15</v>
      </c>
      <c r="O348">
        <v>0</v>
      </c>
      <c r="P348">
        <v>0</v>
      </c>
      <c r="Q348">
        <v>0</v>
      </c>
      <c r="R348">
        <v>0</v>
      </c>
      <c r="S348">
        <v>0</v>
      </c>
    </row>
    <row r="349" spans="4:19" x14ac:dyDescent="0.3">
      <c r="D349">
        <v>6052780</v>
      </c>
      <c r="F349">
        <f t="shared" si="5"/>
        <v>3</v>
      </c>
      <c r="N349">
        <v>3</v>
      </c>
      <c r="O349">
        <v>0</v>
      </c>
      <c r="P349">
        <v>0</v>
      </c>
      <c r="Q349">
        <v>0</v>
      </c>
      <c r="R349">
        <v>0</v>
      </c>
      <c r="S349">
        <v>0</v>
      </c>
    </row>
    <row r="350" spans="4:19" x14ac:dyDescent="0.3">
      <c r="D350">
        <v>6052850</v>
      </c>
      <c r="F350">
        <f t="shared" si="5"/>
        <v>14</v>
      </c>
      <c r="N350">
        <v>14</v>
      </c>
      <c r="O350">
        <v>0</v>
      </c>
      <c r="P350">
        <v>0</v>
      </c>
      <c r="Q350">
        <v>0</v>
      </c>
      <c r="R350">
        <v>0</v>
      </c>
      <c r="S350">
        <v>0</v>
      </c>
    </row>
    <row r="351" spans="4:19" x14ac:dyDescent="0.3">
      <c r="D351">
        <v>6052860</v>
      </c>
      <c r="F351">
        <f t="shared" si="5"/>
        <v>448</v>
      </c>
      <c r="N351">
        <v>448</v>
      </c>
      <c r="O351">
        <v>0</v>
      </c>
      <c r="P351">
        <v>0</v>
      </c>
      <c r="Q351">
        <v>0</v>
      </c>
      <c r="R351">
        <v>0</v>
      </c>
      <c r="S351">
        <v>0</v>
      </c>
    </row>
    <row r="352" spans="4:19" x14ac:dyDescent="0.3">
      <c r="D352">
        <v>6052916</v>
      </c>
      <c r="F352">
        <f t="shared" si="5"/>
        <v>12</v>
      </c>
      <c r="N352">
        <v>12</v>
      </c>
      <c r="O352">
        <v>0</v>
      </c>
      <c r="P352">
        <v>0</v>
      </c>
      <c r="Q352">
        <v>0</v>
      </c>
      <c r="R352">
        <v>0</v>
      </c>
      <c r="S352">
        <v>0</v>
      </c>
    </row>
    <row r="353" spans="4:19" x14ac:dyDescent="0.3">
      <c r="D353">
        <v>6052949</v>
      </c>
      <c r="F353">
        <f t="shared" si="5"/>
        <v>5</v>
      </c>
      <c r="N353">
        <v>5</v>
      </c>
      <c r="O353">
        <v>0</v>
      </c>
      <c r="P353">
        <v>0</v>
      </c>
      <c r="Q353">
        <v>0</v>
      </c>
      <c r="R353">
        <v>0</v>
      </c>
      <c r="S353">
        <v>0</v>
      </c>
    </row>
    <row r="354" spans="4:19" x14ac:dyDescent="0.3">
      <c r="D354">
        <v>6052956</v>
      </c>
      <c r="F354">
        <f t="shared" si="5"/>
        <v>262</v>
      </c>
      <c r="N354">
        <v>262</v>
      </c>
      <c r="O354">
        <v>0</v>
      </c>
      <c r="P354">
        <v>0</v>
      </c>
      <c r="Q354">
        <v>0</v>
      </c>
      <c r="R354">
        <v>0</v>
      </c>
      <c r="S354">
        <v>0</v>
      </c>
    </row>
    <row r="355" spans="4:19" x14ac:dyDescent="0.3">
      <c r="D355">
        <v>6053034</v>
      </c>
      <c r="F355">
        <f t="shared" si="5"/>
        <v>107</v>
      </c>
      <c r="N355">
        <v>107</v>
      </c>
      <c r="O355">
        <v>0</v>
      </c>
      <c r="P355">
        <v>0</v>
      </c>
      <c r="Q355">
        <v>0</v>
      </c>
      <c r="R355">
        <v>0</v>
      </c>
      <c r="S355">
        <v>0</v>
      </c>
    </row>
    <row r="356" spans="4:19" x14ac:dyDescent="0.3">
      <c r="D356">
        <v>6053859</v>
      </c>
      <c r="F356">
        <f t="shared" si="5"/>
        <v>20</v>
      </c>
      <c r="N356">
        <v>20</v>
      </c>
      <c r="O356">
        <v>0</v>
      </c>
      <c r="P356">
        <v>0</v>
      </c>
      <c r="Q356">
        <v>0</v>
      </c>
      <c r="R356">
        <v>0</v>
      </c>
      <c r="S356">
        <v>0</v>
      </c>
    </row>
    <row r="357" spans="4:19" x14ac:dyDescent="0.3">
      <c r="D357">
        <v>6053860</v>
      </c>
      <c r="F357">
        <f t="shared" si="5"/>
        <v>13</v>
      </c>
      <c r="N357">
        <v>13</v>
      </c>
      <c r="O357">
        <v>0</v>
      </c>
      <c r="P357">
        <v>0</v>
      </c>
      <c r="Q357">
        <v>0</v>
      </c>
      <c r="R357">
        <v>0</v>
      </c>
      <c r="S357">
        <v>0</v>
      </c>
    </row>
    <row r="358" spans="4:19" x14ac:dyDescent="0.3">
      <c r="D358">
        <v>6053864</v>
      </c>
      <c r="F358">
        <f t="shared" si="5"/>
        <v>134</v>
      </c>
      <c r="N358">
        <v>134</v>
      </c>
      <c r="O358">
        <v>0</v>
      </c>
      <c r="P358">
        <v>0</v>
      </c>
      <c r="Q358">
        <v>0</v>
      </c>
      <c r="R358">
        <v>0</v>
      </c>
      <c r="S358">
        <v>0</v>
      </c>
    </row>
    <row r="359" spans="4:19" x14ac:dyDescent="0.3">
      <c r="D359">
        <v>6053865</v>
      </c>
      <c r="F359">
        <f t="shared" si="5"/>
        <v>43</v>
      </c>
      <c r="N359">
        <v>43</v>
      </c>
      <c r="O359">
        <v>0</v>
      </c>
      <c r="P359">
        <v>0</v>
      </c>
      <c r="Q359">
        <v>0</v>
      </c>
      <c r="R359">
        <v>0</v>
      </c>
      <c r="S359">
        <v>0</v>
      </c>
    </row>
    <row r="360" spans="4:19" x14ac:dyDescent="0.3">
      <c r="D360">
        <v>6053959</v>
      </c>
      <c r="F360">
        <f t="shared" si="5"/>
        <v>7</v>
      </c>
      <c r="N360">
        <v>7</v>
      </c>
      <c r="O360">
        <v>0</v>
      </c>
      <c r="P360">
        <v>0</v>
      </c>
      <c r="Q360">
        <v>0</v>
      </c>
      <c r="R360">
        <v>0</v>
      </c>
      <c r="S360">
        <v>0</v>
      </c>
    </row>
    <row r="361" spans="4:19" x14ac:dyDescent="0.3">
      <c r="D361">
        <v>6053988</v>
      </c>
      <c r="F361">
        <f t="shared" si="5"/>
        <v>6</v>
      </c>
      <c r="N361">
        <v>6</v>
      </c>
      <c r="O361">
        <v>0</v>
      </c>
      <c r="P361">
        <v>0</v>
      </c>
      <c r="Q361">
        <v>0</v>
      </c>
      <c r="R361">
        <v>0</v>
      </c>
      <c r="S361">
        <v>0</v>
      </c>
    </row>
    <row r="362" spans="4:19" x14ac:dyDescent="0.3">
      <c r="D362">
        <v>6054231</v>
      </c>
      <c r="F362">
        <f t="shared" si="5"/>
        <v>58</v>
      </c>
      <c r="N362">
        <v>58</v>
      </c>
      <c r="O362">
        <v>0</v>
      </c>
      <c r="P362">
        <v>0</v>
      </c>
      <c r="Q362">
        <v>0</v>
      </c>
      <c r="R362">
        <v>0</v>
      </c>
      <c r="S362">
        <v>0</v>
      </c>
    </row>
    <row r="363" spans="4:19" x14ac:dyDescent="0.3">
      <c r="D363">
        <v>6054396</v>
      </c>
      <c r="F363">
        <f t="shared" si="5"/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</row>
    <row r="364" spans="4:19" x14ac:dyDescent="0.3">
      <c r="D364">
        <v>6054444</v>
      </c>
      <c r="F364">
        <f t="shared" si="5"/>
        <v>92</v>
      </c>
      <c r="N364">
        <v>92</v>
      </c>
      <c r="O364">
        <v>0</v>
      </c>
      <c r="P364">
        <v>0</v>
      </c>
      <c r="Q364">
        <v>0</v>
      </c>
      <c r="R364">
        <v>0</v>
      </c>
      <c r="S364">
        <v>0</v>
      </c>
    </row>
    <row r="365" spans="4:19" x14ac:dyDescent="0.3">
      <c r="D365">
        <v>6054679</v>
      </c>
      <c r="F365">
        <f t="shared" si="5"/>
        <v>23</v>
      </c>
      <c r="N365">
        <v>23</v>
      </c>
      <c r="O365">
        <v>0</v>
      </c>
      <c r="P365">
        <v>0</v>
      </c>
      <c r="Q365">
        <v>0</v>
      </c>
      <c r="R365">
        <v>0</v>
      </c>
      <c r="S365">
        <v>0</v>
      </c>
    </row>
    <row r="366" spans="4:19" x14ac:dyDescent="0.3">
      <c r="D366">
        <v>6054889</v>
      </c>
      <c r="F366">
        <f t="shared" si="5"/>
        <v>6</v>
      </c>
      <c r="N366">
        <v>6</v>
      </c>
      <c r="O366">
        <v>0</v>
      </c>
      <c r="P366">
        <v>0</v>
      </c>
      <c r="Q366">
        <v>0</v>
      </c>
      <c r="R366">
        <v>0</v>
      </c>
      <c r="S366">
        <v>0</v>
      </c>
    </row>
    <row r="367" spans="4:19" x14ac:dyDescent="0.3">
      <c r="D367">
        <v>6055186</v>
      </c>
      <c r="F367">
        <f t="shared" si="5"/>
        <v>12</v>
      </c>
      <c r="N367">
        <v>12</v>
      </c>
      <c r="O367">
        <v>0</v>
      </c>
      <c r="P367">
        <v>0</v>
      </c>
      <c r="Q367">
        <v>0</v>
      </c>
      <c r="R367">
        <v>0</v>
      </c>
      <c r="S367">
        <v>0</v>
      </c>
    </row>
    <row r="368" spans="4:19" x14ac:dyDescent="0.3">
      <c r="D368">
        <v>6055314</v>
      </c>
      <c r="F368">
        <f t="shared" si="5"/>
        <v>84</v>
      </c>
      <c r="N368">
        <v>84</v>
      </c>
      <c r="O368">
        <v>0</v>
      </c>
      <c r="P368">
        <v>0</v>
      </c>
      <c r="Q368">
        <v>0</v>
      </c>
      <c r="R368">
        <v>0</v>
      </c>
      <c r="S368">
        <v>0</v>
      </c>
    </row>
    <row r="369" spans="4:19" x14ac:dyDescent="0.3">
      <c r="D369">
        <v>6055349</v>
      </c>
      <c r="F369">
        <f t="shared" si="5"/>
        <v>123</v>
      </c>
      <c r="N369">
        <v>123</v>
      </c>
      <c r="O369">
        <v>0</v>
      </c>
      <c r="P369">
        <v>0</v>
      </c>
      <c r="Q369">
        <v>0</v>
      </c>
      <c r="R369">
        <v>0</v>
      </c>
      <c r="S369">
        <v>0</v>
      </c>
    </row>
    <row r="370" spans="4:19" x14ac:dyDescent="0.3">
      <c r="D370">
        <v>6055509</v>
      </c>
      <c r="F370">
        <f t="shared" si="5"/>
        <v>20</v>
      </c>
      <c r="N370">
        <v>20</v>
      </c>
      <c r="O370">
        <v>0</v>
      </c>
      <c r="P370">
        <v>0</v>
      </c>
      <c r="Q370">
        <v>0</v>
      </c>
      <c r="R370">
        <v>0</v>
      </c>
      <c r="S370">
        <v>0</v>
      </c>
    </row>
    <row r="371" spans="4:19" x14ac:dyDescent="0.3">
      <c r="D371">
        <v>6055520</v>
      </c>
      <c r="F371">
        <f t="shared" si="5"/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</row>
    <row r="372" spans="4:19" x14ac:dyDescent="0.3">
      <c r="D372">
        <v>6055561</v>
      </c>
      <c r="F372">
        <f t="shared" si="5"/>
        <v>43</v>
      </c>
      <c r="N372">
        <v>1</v>
      </c>
      <c r="O372">
        <v>42</v>
      </c>
      <c r="P372">
        <v>0</v>
      </c>
      <c r="Q372">
        <v>0</v>
      </c>
      <c r="R372">
        <v>0</v>
      </c>
      <c r="S372">
        <v>0</v>
      </c>
    </row>
    <row r="373" spans="4:19" x14ac:dyDescent="0.3">
      <c r="D373">
        <v>6055573</v>
      </c>
      <c r="F373">
        <f t="shared" si="5"/>
        <v>60</v>
      </c>
      <c r="N373">
        <v>60</v>
      </c>
      <c r="O373">
        <v>0</v>
      </c>
      <c r="P373">
        <v>0</v>
      </c>
      <c r="Q373">
        <v>0</v>
      </c>
      <c r="R373">
        <v>0</v>
      </c>
      <c r="S373">
        <v>0</v>
      </c>
    </row>
    <row r="374" spans="4:19" x14ac:dyDescent="0.3">
      <c r="D374">
        <v>6055574</v>
      </c>
      <c r="F374">
        <f t="shared" si="5"/>
        <v>7</v>
      </c>
      <c r="N374">
        <v>7</v>
      </c>
      <c r="O374">
        <v>0</v>
      </c>
      <c r="P374">
        <v>0</v>
      </c>
      <c r="Q374">
        <v>0</v>
      </c>
      <c r="R374">
        <v>0</v>
      </c>
      <c r="S374">
        <v>0</v>
      </c>
    </row>
    <row r="375" spans="4:19" x14ac:dyDescent="0.3">
      <c r="D375">
        <v>6055918</v>
      </c>
      <c r="F375">
        <f t="shared" si="5"/>
        <v>296</v>
      </c>
      <c r="N375">
        <v>296</v>
      </c>
      <c r="O375">
        <v>0</v>
      </c>
      <c r="P375">
        <v>0</v>
      </c>
      <c r="Q375">
        <v>0</v>
      </c>
      <c r="R375">
        <v>0</v>
      </c>
      <c r="S375">
        <v>0</v>
      </c>
    </row>
    <row r="376" spans="4:19" x14ac:dyDescent="0.3">
      <c r="D376">
        <v>6056032</v>
      </c>
      <c r="F376">
        <f t="shared" si="5"/>
        <v>33</v>
      </c>
      <c r="N376">
        <v>33</v>
      </c>
      <c r="O376">
        <v>0</v>
      </c>
      <c r="P376">
        <v>0</v>
      </c>
      <c r="Q376">
        <v>0</v>
      </c>
      <c r="R376">
        <v>0</v>
      </c>
      <c r="S376">
        <v>0</v>
      </c>
    </row>
    <row r="377" spans="4:19" x14ac:dyDescent="0.3">
      <c r="D377">
        <v>6056033</v>
      </c>
      <c r="F377">
        <f t="shared" si="5"/>
        <v>10</v>
      </c>
      <c r="N377">
        <v>10</v>
      </c>
      <c r="O377">
        <v>0</v>
      </c>
      <c r="P377">
        <v>0</v>
      </c>
      <c r="Q377">
        <v>0</v>
      </c>
      <c r="R377">
        <v>0</v>
      </c>
      <c r="S377">
        <v>0</v>
      </c>
    </row>
    <row r="378" spans="4:19" x14ac:dyDescent="0.3">
      <c r="D378">
        <v>6056036</v>
      </c>
      <c r="F378">
        <f t="shared" si="5"/>
        <v>93</v>
      </c>
      <c r="N378">
        <v>93</v>
      </c>
      <c r="O378">
        <v>0</v>
      </c>
      <c r="P378">
        <v>0</v>
      </c>
      <c r="Q378">
        <v>0</v>
      </c>
      <c r="R378">
        <v>0</v>
      </c>
      <c r="S378">
        <v>0</v>
      </c>
    </row>
    <row r="379" spans="4:19" x14ac:dyDescent="0.3">
      <c r="D379">
        <v>6056037</v>
      </c>
      <c r="F379">
        <f t="shared" si="5"/>
        <v>113</v>
      </c>
      <c r="N379">
        <v>113</v>
      </c>
      <c r="O379">
        <v>0</v>
      </c>
      <c r="P379">
        <v>0</v>
      </c>
      <c r="Q379">
        <v>0</v>
      </c>
      <c r="R379">
        <v>0</v>
      </c>
      <c r="S379">
        <v>0</v>
      </c>
    </row>
    <row r="380" spans="4:19" x14ac:dyDescent="0.3">
      <c r="D380">
        <v>6056120</v>
      </c>
      <c r="F380">
        <f t="shared" si="5"/>
        <v>14</v>
      </c>
      <c r="N380">
        <v>14</v>
      </c>
      <c r="O380">
        <v>0</v>
      </c>
      <c r="P380">
        <v>0</v>
      </c>
      <c r="Q380">
        <v>0</v>
      </c>
      <c r="R380">
        <v>0</v>
      </c>
      <c r="S380">
        <v>0</v>
      </c>
    </row>
    <row r="381" spans="4:19" x14ac:dyDescent="0.3">
      <c r="D381">
        <v>6056142</v>
      </c>
      <c r="F381">
        <f t="shared" si="5"/>
        <v>8</v>
      </c>
      <c r="N381">
        <v>8</v>
      </c>
      <c r="O381">
        <v>0</v>
      </c>
      <c r="P381">
        <v>0</v>
      </c>
      <c r="Q381">
        <v>0</v>
      </c>
      <c r="R381">
        <v>0</v>
      </c>
      <c r="S381">
        <v>0</v>
      </c>
    </row>
    <row r="382" spans="4:19" x14ac:dyDescent="0.3">
      <c r="D382">
        <v>6056185</v>
      </c>
      <c r="F382">
        <f t="shared" si="5"/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</row>
    <row r="383" spans="4:19" x14ac:dyDescent="0.3">
      <c r="D383">
        <v>6056186</v>
      </c>
      <c r="F383">
        <f t="shared" si="5"/>
        <v>6</v>
      </c>
      <c r="N383">
        <v>6</v>
      </c>
      <c r="O383">
        <v>0</v>
      </c>
      <c r="P383">
        <v>0</v>
      </c>
      <c r="Q383">
        <v>0</v>
      </c>
      <c r="R383">
        <v>0</v>
      </c>
      <c r="S383">
        <v>0</v>
      </c>
    </row>
    <row r="384" spans="4:19" x14ac:dyDescent="0.3">
      <c r="D384">
        <v>6056218</v>
      </c>
      <c r="F384">
        <f t="shared" si="5"/>
        <v>5</v>
      </c>
      <c r="N384">
        <v>5</v>
      </c>
      <c r="O384">
        <v>0</v>
      </c>
      <c r="P384">
        <v>0</v>
      </c>
      <c r="Q384">
        <v>0</v>
      </c>
      <c r="R384">
        <v>0</v>
      </c>
      <c r="S384">
        <v>0</v>
      </c>
    </row>
    <row r="385" spans="4:19" x14ac:dyDescent="0.3">
      <c r="D385">
        <v>6056283</v>
      </c>
      <c r="F385">
        <f t="shared" si="5"/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</row>
    <row r="386" spans="4:19" x14ac:dyDescent="0.3">
      <c r="D386">
        <v>6056297</v>
      </c>
      <c r="F386">
        <f t="shared" si="5"/>
        <v>10</v>
      </c>
      <c r="N386">
        <v>10</v>
      </c>
      <c r="O386">
        <v>0</v>
      </c>
      <c r="P386">
        <v>0</v>
      </c>
      <c r="Q386">
        <v>0</v>
      </c>
      <c r="R386">
        <v>0</v>
      </c>
      <c r="S386">
        <v>0</v>
      </c>
    </row>
    <row r="387" spans="4:19" x14ac:dyDescent="0.3">
      <c r="D387">
        <v>6056326</v>
      </c>
      <c r="F387">
        <f t="shared" ref="F387:F450" si="6">SUMIF(N387:S387,"&gt;=0")</f>
        <v>16</v>
      </c>
      <c r="N387">
        <v>16</v>
      </c>
      <c r="O387">
        <v>0</v>
      </c>
      <c r="P387">
        <v>0</v>
      </c>
      <c r="Q387">
        <v>0</v>
      </c>
      <c r="R387">
        <v>0</v>
      </c>
      <c r="S387">
        <v>0</v>
      </c>
    </row>
    <row r="388" spans="4:19" x14ac:dyDescent="0.3">
      <c r="D388">
        <v>6056327</v>
      </c>
      <c r="F388">
        <f t="shared" si="6"/>
        <v>4</v>
      </c>
      <c r="N388">
        <v>4</v>
      </c>
      <c r="O388">
        <v>0</v>
      </c>
      <c r="P388">
        <v>0</v>
      </c>
      <c r="Q388">
        <v>0</v>
      </c>
      <c r="R388">
        <v>0</v>
      </c>
      <c r="S388">
        <v>0</v>
      </c>
    </row>
    <row r="389" spans="4:19" x14ac:dyDescent="0.3">
      <c r="D389">
        <v>6056445</v>
      </c>
      <c r="F389">
        <f t="shared" si="6"/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</row>
    <row r="390" spans="4:19" x14ac:dyDescent="0.3">
      <c r="D390">
        <v>6056449</v>
      </c>
      <c r="F390">
        <f t="shared" si="6"/>
        <v>13</v>
      </c>
      <c r="N390">
        <v>13</v>
      </c>
      <c r="O390">
        <v>0</v>
      </c>
      <c r="P390">
        <v>0</v>
      </c>
      <c r="Q390">
        <v>0</v>
      </c>
      <c r="R390">
        <v>0</v>
      </c>
      <c r="S390">
        <v>0</v>
      </c>
    </row>
    <row r="391" spans="4:19" x14ac:dyDescent="0.3">
      <c r="D391">
        <v>6056454</v>
      </c>
      <c r="F391">
        <f t="shared" si="6"/>
        <v>6</v>
      </c>
      <c r="N391">
        <v>6</v>
      </c>
      <c r="O391">
        <v>0</v>
      </c>
      <c r="P391">
        <v>0</v>
      </c>
      <c r="Q391">
        <v>0</v>
      </c>
      <c r="R391">
        <v>0</v>
      </c>
      <c r="S391">
        <v>0</v>
      </c>
    </row>
    <row r="392" spans="4:19" x14ac:dyDescent="0.3">
      <c r="D392">
        <v>6056455</v>
      </c>
      <c r="F392">
        <f t="shared" si="6"/>
        <v>13</v>
      </c>
      <c r="N392">
        <v>13</v>
      </c>
      <c r="O392">
        <v>0</v>
      </c>
      <c r="P392">
        <v>0</v>
      </c>
      <c r="Q392">
        <v>0</v>
      </c>
      <c r="R392">
        <v>0</v>
      </c>
      <c r="S392">
        <v>0</v>
      </c>
    </row>
    <row r="393" spans="4:19" x14ac:dyDescent="0.3">
      <c r="D393">
        <v>6056530</v>
      </c>
      <c r="F393">
        <f t="shared" si="6"/>
        <v>106</v>
      </c>
      <c r="N393">
        <v>106</v>
      </c>
      <c r="O393">
        <v>0</v>
      </c>
      <c r="P393">
        <v>0</v>
      </c>
      <c r="Q393">
        <v>0</v>
      </c>
      <c r="R393">
        <v>0</v>
      </c>
      <c r="S393">
        <v>0</v>
      </c>
    </row>
    <row r="394" spans="4:19" x14ac:dyDescent="0.3">
      <c r="D394">
        <v>6056535</v>
      </c>
      <c r="F394">
        <f t="shared" si="6"/>
        <v>32</v>
      </c>
      <c r="N394">
        <v>32</v>
      </c>
      <c r="O394">
        <v>0</v>
      </c>
      <c r="P394">
        <v>0</v>
      </c>
      <c r="Q394">
        <v>0</v>
      </c>
      <c r="R394">
        <v>0</v>
      </c>
      <c r="S394">
        <v>0</v>
      </c>
    </row>
    <row r="395" spans="4:19" x14ac:dyDescent="0.3">
      <c r="D395">
        <v>6056537</v>
      </c>
      <c r="F395">
        <f t="shared" si="6"/>
        <v>135</v>
      </c>
      <c r="N395">
        <v>135</v>
      </c>
      <c r="O395">
        <v>0</v>
      </c>
      <c r="P395">
        <v>0</v>
      </c>
      <c r="Q395">
        <v>0</v>
      </c>
      <c r="R395">
        <v>0</v>
      </c>
      <c r="S395">
        <v>0</v>
      </c>
    </row>
    <row r="396" spans="4:19" x14ac:dyDescent="0.3">
      <c r="D396">
        <v>6056538</v>
      </c>
      <c r="F396">
        <f t="shared" si="6"/>
        <v>48</v>
      </c>
      <c r="N396">
        <v>42</v>
      </c>
      <c r="O396">
        <v>6</v>
      </c>
      <c r="P396">
        <v>0</v>
      </c>
      <c r="Q396">
        <v>0</v>
      </c>
      <c r="R396">
        <v>0</v>
      </c>
      <c r="S396">
        <v>0</v>
      </c>
    </row>
    <row r="397" spans="4:19" x14ac:dyDescent="0.3">
      <c r="D397">
        <v>6056539</v>
      </c>
      <c r="F397">
        <f t="shared" si="6"/>
        <v>26</v>
      </c>
      <c r="N397">
        <v>26</v>
      </c>
      <c r="O397">
        <v>0</v>
      </c>
      <c r="P397">
        <v>0</v>
      </c>
      <c r="Q397">
        <v>0</v>
      </c>
      <c r="R397">
        <v>0</v>
      </c>
      <c r="S397">
        <v>0</v>
      </c>
    </row>
    <row r="398" spans="4:19" x14ac:dyDescent="0.3">
      <c r="D398">
        <v>6056540</v>
      </c>
      <c r="F398">
        <f t="shared" si="6"/>
        <v>326</v>
      </c>
      <c r="N398">
        <v>326</v>
      </c>
      <c r="O398">
        <v>0</v>
      </c>
      <c r="P398">
        <v>0</v>
      </c>
      <c r="Q398">
        <v>0</v>
      </c>
      <c r="R398">
        <v>0</v>
      </c>
      <c r="S398">
        <v>0</v>
      </c>
    </row>
    <row r="399" spans="4:19" x14ac:dyDescent="0.3">
      <c r="D399">
        <v>6056543</v>
      </c>
      <c r="F399">
        <f t="shared" si="6"/>
        <v>118</v>
      </c>
      <c r="N399">
        <v>118</v>
      </c>
      <c r="O399">
        <v>0</v>
      </c>
      <c r="P399">
        <v>0</v>
      </c>
      <c r="Q399">
        <v>0</v>
      </c>
      <c r="R399">
        <v>0</v>
      </c>
      <c r="S399">
        <v>0</v>
      </c>
    </row>
    <row r="400" spans="4:19" x14ac:dyDescent="0.3">
      <c r="D400">
        <v>6056549</v>
      </c>
      <c r="F400">
        <f t="shared" si="6"/>
        <v>19</v>
      </c>
      <c r="N400">
        <v>19</v>
      </c>
      <c r="O400">
        <v>0</v>
      </c>
      <c r="P400">
        <v>0</v>
      </c>
      <c r="Q400">
        <v>0</v>
      </c>
      <c r="R400">
        <v>0</v>
      </c>
      <c r="S400">
        <v>0</v>
      </c>
    </row>
    <row r="401" spans="4:19" x14ac:dyDescent="0.3">
      <c r="D401">
        <v>6056555</v>
      </c>
      <c r="F401">
        <f t="shared" si="6"/>
        <v>1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</row>
    <row r="402" spans="4:19" x14ac:dyDescent="0.3">
      <c r="D402">
        <v>6056557</v>
      </c>
      <c r="F402">
        <f t="shared" si="6"/>
        <v>16</v>
      </c>
      <c r="N402">
        <v>16</v>
      </c>
      <c r="O402">
        <v>0</v>
      </c>
      <c r="P402">
        <v>0</v>
      </c>
      <c r="Q402">
        <v>0</v>
      </c>
      <c r="R402">
        <v>0</v>
      </c>
      <c r="S402">
        <v>0</v>
      </c>
    </row>
    <row r="403" spans="4:19" x14ac:dyDescent="0.3">
      <c r="D403">
        <v>6056558</v>
      </c>
      <c r="F403">
        <f t="shared" si="6"/>
        <v>17</v>
      </c>
      <c r="N403">
        <v>17</v>
      </c>
      <c r="O403">
        <v>0</v>
      </c>
      <c r="P403">
        <v>0</v>
      </c>
      <c r="Q403">
        <v>0</v>
      </c>
      <c r="R403">
        <v>0</v>
      </c>
      <c r="S403">
        <v>0</v>
      </c>
    </row>
    <row r="404" spans="4:19" x14ac:dyDescent="0.3">
      <c r="D404">
        <v>6056565</v>
      </c>
      <c r="F404">
        <f t="shared" si="6"/>
        <v>32</v>
      </c>
      <c r="N404">
        <v>32</v>
      </c>
      <c r="O404">
        <v>0</v>
      </c>
      <c r="P404">
        <v>0</v>
      </c>
      <c r="Q404">
        <v>0</v>
      </c>
      <c r="R404">
        <v>0</v>
      </c>
      <c r="S404">
        <v>0</v>
      </c>
    </row>
    <row r="405" spans="4:19" x14ac:dyDescent="0.3">
      <c r="D405">
        <v>6056566</v>
      </c>
      <c r="F405">
        <f t="shared" si="6"/>
        <v>234</v>
      </c>
      <c r="N405">
        <v>234</v>
      </c>
      <c r="O405">
        <v>0</v>
      </c>
      <c r="P405">
        <v>0</v>
      </c>
      <c r="Q405">
        <v>0</v>
      </c>
      <c r="R405">
        <v>0</v>
      </c>
      <c r="S405">
        <v>0</v>
      </c>
    </row>
    <row r="406" spans="4:19" x14ac:dyDescent="0.3">
      <c r="D406">
        <v>6056567</v>
      </c>
      <c r="F406">
        <f t="shared" si="6"/>
        <v>58</v>
      </c>
      <c r="N406">
        <v>58</v>
      </c>
      <c r="O406">
        <v>0</v>
      </c>
      <c r="P406">
        <v>0</v>
      </c>
      <c r="Q406">
        <v>0</v>
      </c>
      <c r="R406">
        <v>0</v>
      </c>
      <c r="S406">
        <v>0</v>
      </c>
    </row>
    <row r="407" spans="4:19" x14ac:dyDescent="0.3">
      <c r="D407">
        <v>6056568</v>
      </c>
      <c r="F407">
        <f t="shared" si="6"/>
        <v>14</v>
      </c>
      <c r="N407">
        <v>14</v>
      </c>
      <c r="O407">
        <v>0</v>
      </c>
      <c r="P407">
        <v>0</v>
      </c>
      <c r="Q407">
        <v>0</v>
      </c>
      <c r="R407">
        <v>0</v>
      </c>
      <c r="S407">
        <v>0</v>
      </c>
    </row>
    <row r="408" spans="4:19" x14ac:dyDescent="0.3">
      <c r="D408">
        <v>6056570</v>
      </c>
      <c r="F408">
        <f t="shared" si="6"/>
        <v>41</v>
      </c>
      <c r="N408">
        <v>41</v>
      </c>
      <c r="O408">
        <v>0</v>
      </c>
      <c r="P408">
        <v>0</v>
      </c>
      <c r="Q408">
        <v>0</v>
      </c>
      <c r="R408">
        <v>0</v>
      </c>
      <c r="S408">
        <v>0</v>
      </c>
    </row>
    <row r="409" spans="4:19" x14ac:dyDescent="0.3">
      <c r="D409">
        <v>6056571</v>
      </c>
      <c r="F409">
        <f t="shared" si="6"/>
        <v>64</v>
      </c>
      <c r="N409">
        <v>64</v>
      </c>
      <c r="O409">
        <v>0</v>
      </c>
      <c r="P409">
        <v>0</v>
      </c>
      <c r="Q409">
        <v>0</v>
      </c>
      <c r="R409">
        <v>0</v>
      </c>
      <c r="S409">
        <v>0</v>
      </c>
    </row>
    <row r="410" spans="4:19" x14ac:dyDescent="0.3">
      <c r="D410">
        <v>6056572</v>
      </c>
      <c r="F410">
        <f t="shared" si="6"/>
        <v>18</v>
      </c>
      <c r="N410">
        <v>18</v>
      </c>
      <c r="O410">
        <v>0</v>
      </c>
      <c r="P410">
        <v>0</v>
      </c>
      <c r="Q410">
        <v>0</v>
      </c>
      <c r="R410">
        <v>0</v>
      </c>
      <c r="S410">
        <v>0</v>
      </c>
    </row>
    <row r="411" spans="4:19" x14ac:dyDescent="0.3">
      <c r="D411">
        <v>6056573</v>
      </c>
      <c r="F411">
        <f t="shared" si="6"/>
        <v>25</v>
      </c>
      <c r="N411">
        <v>25</v>
      </c>
      <c r="O411">
        <v>0</v>
      </c>
      <c r="P411">
        <v>0</v>
      </c>
      <c r="Q411">
        <v>0</v>
      </c>
      <c r="R411">
        <v>0</v>
      </c>
      <c r="S411">
        <v>0</v>
      </c>
    </row>
    <row r="412" spans="4:19" x14ac:dyDescent="0.3">
      <c r="D412">
        <v>6056574</v>
      </c>
      <c r="F412">
        <f t="shared" si="6"/>
        <v>112</v>
      </c>
      <c r="N412">
        <v>112</v>
      </c>
      <c r="O412">
        <v>0</v>
      </c>
      <c r="P412">
        <v>0</v>
      </c>
      <c r="Q412">
        <v>0</v>
      </c>
      <c r="R412">
        <v>0</v>
      </c>
      <c r="S412">
        <v>0</v>
      </c>
    </row>
    <row r="413" spans="4:19" x14ac:dyDescent="0.3">
      <c r="D413">
        <v>6056583</v>
      </c>
      <c r="F413">
        <f t="shared" si="6"/>
        <v>38</v>
      </c>
      <c r="N413">
        <v>38</v>
      </c>
      <c r="O413">
        <v>0</v>
      </c>
      <c r="P413">
        <v>0</v>
      </c>
      <c r="Q413">
        <v>0</v>
      </c>
      <c r="R413">
        <v>0</v>
      </c>
      <c r="S413">
        <v>0</v>
      </c>
    </row>
    <row r="414" spans="4:19" x14ac:dyDescent="0.3">
      <c r="D414">
        <v>6056584</v>
      </c>
      <c r="F414">
        <f t="shared" si="6"/>
        <v>18</v>
      </c>
      <c r="N414">
        <v>18</v>
      </c>
      <c r="O414">
        <v>0</v>
      </c>
      <c r="P414">
        <v>0</v>
      </c>
      <c r="Q414">
        <v>0</v>
      </c>
      <c r="R414">
        <v>0</v>
      </c>
      <c r="S414">
        <v>0</v>
      </c>
    </row>
    <row r="415" spans="4:19" x14ac:dyDescent="0.3">
      <c r="D415">
        <v>6056585</v>
      </c>
      <c r="F415">
        <f t="shared" si="6"/>
        <v>34</v>
      </c>
      <c r="N415">
        <v>34</v>
      </c>
      <c r="O415">
        <v>0</v>
      </c>
      <c r="P415">
        <v>0</v>
      </c>
      <c r="Q415">
        <v>0</v>
      </c>
      <c r="R415">
        <v>0</v>
      </c>
      <c r="S415">
        <v>0</v>
      </c>
    </row>
    <row r="416" spans="4:19" x14ac:dyDescent="0.3">
      <c r="D416">
        <v>6056586</v>
      </c>
      <c r="F416">
        <f t="shared" si="6"/>
        <v>89</v>
      </c>
      <c r="N416">
        <v>87</v>
      </c>
      <c r="O416">
        <v>2</v>
      </c>
      <c r="P416">
        <v>0</v>
      </c>
      <c r="Q416">
        <v>0</v>
      </c>
      <c r="R416">
        <v>0</v>
      </c>
      <c r="S416">
        <v>0</v>
      </c>
    </row>
    <row r="417" spans="4:19" x14ac:dyDescent="0.3">
      <c r="D417">
        <v>6056587</v>
      </c>
      <c r="F417">
        <f t="shared" si="6"/>
        <v>131</v>
      </c>
      <c r="N417">
        <v>131</v>
      </c>
      <c r="O417">
        <v>0</v>
      </c>
      <c r="P417">
        <v>0</v>
      </c>
      <c r="Q417">
        <v>0</v>
      </c>
      <c r="R417">
        <v>0</v>
      </c>
      <c r="S417">
        <v>0</v>
      </c>
    </row>
    <row r="418" spans="4:19" x14ac:dyDescent="0.3">
      <c r="D418">
        <v>6056590</v>
      </c>
      <c r="F418">
        <f t="shared" si="6"/>
        <v>77</v>
      </c>
      <c r="N418">
        <v>77</v>
      </c>
      <c r="O418">
        <v>0</v>
      </c>
      <c r="P418">
        <v>0</v>
      </c>
      <c r="Q418">
        <v>0</v>
      </c>
      <c r="R418">
        <v>0</v>
      </c>
      <c r="S418">
        <v>0</v>
      </c>
    </row>
    <row r="419" spans="4:19" x14ac:dyDescent="0.3">
      <c r="D419">
        <v>6056591</v>
      </c>
      <c r="F419">
        <f t="shared" si="6"/>
        <v>40</v>
      </c>
      <c r="N419">
        <v>40</v>
      </c>
      <c r="O419">
        <v>0</v>
      </c>
      <c r="P419">
        <v>0</v>
      </c>
      <c r="Q419">
        <v>0</v>
      </c>
      <c r="R419">
        <v>0</v>
      </c>
      <c r="S419">
        <v>0</v>
      </c>
    </row>
    <row r="420" spans="4:19" x14ac:dyDescent="0.3">
      <c r="D420">
        <v>6056592</v>
      </c>
      <c r="F420">
        <f t="shared" si="6"/>
        <v>131</v>
      </c>
      <c r="N420">
        <v>131</v>
      </c>
      <c r="O420">
        <v>0</v>
      </c>
      <c r="P420">
        <v>0</v>
      </c>
      <c r="Q420">
        <v>0</v>
      </c>
      <c r="R420">
        <v>0</v>
      </c>
      <c r="S420">
        <v>0</v>
      </c>
    </row>
    <row r="421" spans="4:19" x14ac:dyDescent="0.3">
      <c r="D421">
        <v>6056594</v>
      </c>
      <c r="F421">
        <f t="shared" si="6"/>
        <v>30</v>
      </c>
      <c r="N421">
        <v>30</v>
      </c>
      <c r="O421">
        <v>0</v>
      </c>
      <c r="P421">
        <v>0</v>
      </c>
      <c r="Q421">
        <v>0</v>
      </c>
      <c r="R421">
        <v>0</v>
      </c>
      <c r="S421">
        <v>0</v>
      </c>
    </row>
    <row r="422" spans="4:19" x14ac:dyDescent="0.3">
      <c r="D422">
        <v>6056597</v>
      </c>
      <c r="F422">
        <f t="shared" si="6"/>
        <v>190</v>
      </c>
      <c r="N422">
        <v>190</v>
      </c>
      <c r="O422">
        <v>0</v>
      </c>
      <c r="P422">
        <v>0</v>
      </c>
      <c r="Q422">
        <v>0</v>
      </c>
      <c r="R422">
        <v>0</v>
      </c>
      <c r="S422">
        <v>0</v>
      </c>
    </row>
    <row r="423" spans="4:19" x14ac:dyDescent="0.3">
      <c r="D423">
        <v>6056598</v>
      </c>
      <c r="F423">
        <f t="shared" si="6"/>
        <v>40</v>
      </c>
      <c r="N423">
        <v>40</v>
      </c>
      <c r="O423">
        <v>0</v>
      </c>
      <c r="P423">
        <v>0</v>
      </c>
      <c r="Q423">
        <v>0</v>
      </c>
      <c r="R423">
        <v>0</v>
      </c>
      <c r="S423">
        <v>0</v>
      </c>
    </row>
    <row r="424" spans="4:19" x14ac:dyDescent="0.3">
      <c r="D424">
        <v>6056600</v>
      </c>
      <c r="F424">
        <f t="shared" si="6"/>
        <v>42</v>
      </c>
      <c r="N424">
        <v>42</v>
      </c>
      <c r="O424">
        <v>0</v>
      </c>
      <c r="P424">
        <v>0</v>
      </c>
      <c r="Q424">
        <v>0</v>
      </c>
      <c r="R424">
        <v>0</v>
      </c>
      <c r="S424">
        <v>0</v>
      </c>
    </row>
    <row r="425" spans="4:19" x14ac:dyDescent="0.3">
      <c r="D425">
        <v>6056604</v>
      </c>
      <c r="F425">
        <f t="shared" si="6"/>
        <v>42</v>
      </c>
      <c r="N425">
        <v>42</v>
      </c>
      <c r="O425">
        <v>0</v>
      </c>
      <c r="P425">
        <v>0</v>
      </c>
      <c r="Q425">
        <v>0</v>
      </c>
      <c r="R425">
        <v>0</v>
      </c>
      <c r="S425">
        <v>0</v>
      </c>
    </row>
    <row r="426" spans="4:19" x14ac:dyDescent="0.3">
      <c r="D426">
        <v>6056605</v>
      </c>
      <c r="F426">
        <f t="shared" si="6"/>
        <v>22</v>
      </c>
      <c r="N426">
        <v>22</v>
      </c>
      <c r="O426">
        <v>0</v>
      </c>
      <c r="P426">
        <v>0</v>
      </c>
      <c r="Q426">
        <v>0</v>
      </c>
      <c r="R426">
        <v>0</v>
      </c>
      <c r="S426">
        <v>0</v>
      </c>
    </row>
    <row r="427" spans="4:19" x14ac:dyDescent="0.3">
      <c r="D427">
        <v>6056606</v>
      </c>
      <c r="F427">
        <f t="shared" si="6"/>
        <v>71</v>
      </c>
      <c r="N427">
        <v>71</v>
      </c>
      <c r="O427">
        <v>0</v>
      </c>
      <c r="P427">
        <v>0</v>
      </c>
      <c r="Q427">
        <v>0</v>
      </c>
      <c r="R427">
        <v>0</v>
      </c>
      <c r="S427">
        <v>0</v>
      </c>
    </row>
    <row r="428" spans="4:19" x14ac:dyDescent="0.3">
      <c r="D428">
        <v>6056607</v>
      </c>
      <c r="F428">
        <f t="shared" si="6"/>
        <v>160</v>
      </c>
      <c r="N428">
        <v>160</v>
      </c>
      <c r="O428">
        <v>0</v>
      </c>
      <c r="P428">
        <v>0</v>
      </c>
      <c r="Q428">
        <v>0</v>
      </c>
      <c r="R428">
        <v>0</v>
      </c>
      <c r="S428">
        <v>0</v>
      </c>
    </row>
    <row r="429" spans="4:19" x14ac:dyDescent="0.3">
      <c r="D429">
        <v>6056608</v>
      </c>
      <c r="F429">
        <f t="shared" si="6"/>
        <v>239</v>
      </c>
      <c r="N429">
        <v>239</v>
      </c>
      <c r="O429">
        <v>0</v>
      </c>
      <c r="P429">
        <v>0</v>
      </c>
      <c r="Q429">
        <v>0</v>
      </c>
      <c r="R429">
        <v>0</v>
      </c>
      <c r="S429">
        <v>0</v>
      </c>
    </row>
    <row r="430" spans="4:19" x14ac:dyDescent="0.3">
      <c r="D430">
        <v>6056615</v>
      </c>
      <c r="F430">
        <f t="shared" si="6"/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</row>
    <row r="431" spans="4:19" x14ac:dyDescent="0.3">
      <c r="D431">
        <v>6056639</v>
      </c>
      <c r="F431">
        <f t="shared" si="6"/>
        <v>4</v>
      </c>
      <c r="N431">
        <v>4</v>
      </c>
      <c r="O431">
        <v>0</v>
      </c>
      <c r="P431">
        <v>0</v>
      </c>
      <c r="Q431">
        <v>0</v>
      </c>
      <c r="R431">
        <v>0</v>
      </c>
      <c r="S431">
        <v>0</v>
      </c>
    </row>
    <row r="432" spans="4:19" x14ac:dyDescent="0.3">
      <c r="D432">
        <v>6056647</v>
      </c>
      <c r="F432">
        <f t="shared" si="6"/>
        <v>3</v>
      </c>
      <c r="N432">
        <v>3</v>
      </c>
      <c r="O432">
        <v>0</v>
      </c>
      <c r="P432">
        <v>0</v>
      </c>
      <c r="Q432">
        <v>0</v>
      </c>
      <c r="R432">
        <v>0</v>
      </c>
      <c r="S432">
        <v>0</v>
      </c>
    </row>
    <row r="433" spans="4:19" x14ac:dyDescent="0.3">
      <c r="D433">
        <v>6056741</v>
      </c>
      <c r="F433">
        <f t="shared" si="6"/>
        <v>2</v>
      </c>
      <c r="N433">
        <v>2</v>
      </c>
      <c r="O433">
        <v>0</v>
      </c>
      <c r="P433">
        <v>0</v>
      </c>
      <c r="Q433">
        <v>0</v>
      </c>
      <c r="R433">
        <v>0</v>
      </c>
      <c r="S433">
        <v>0</v>
      </c>
    </row>
    <row r="434" spans="4:19" x14ac:dyDescent="0.3">
      <c r="D434">
        <v>6056747</v>
      </c>
      <c r="F434">
        <f t="shared" si="6"/>
        <v>6</v>
      </c>
      <c r="N434">
        <v>6</v>
      </c>
      <c r="O434">
        <v>0</v>
      </c>
      <c r="P434">
        <v>0</v>
      </c>
      <c r="Q434">
        <v>0</v>
      </c>
      <c r="R434">
        <v>0</v>
      </c>
      <c r="S434">
        <v>0</v>
      </c>
    </row>
    <row r="435" spans="4:19" x14ac:dyDescent="0.3">
      <c r="D435">
        <v>6056762</v>
      </c>
      <c r="F435">
        <f t="shared" si="6"/>
        <v>8</v>
      </c>
      <c r="N435">
        <v>8</v>
      </c>
      <c r="O435">
        <v>0</v>
      </c>
      <c r="P435">
        <v>0</v>
      </c>
      <c r="Q435">
        <v>0</v>
      </c>
      <c r="R435">
        <v>0</v>
      </c>
      <c r="S435">
        <v>0</v>
      </c>
    </row>
    <row r="436" spans="4:19" x14ac:dyDescent="0.3">
      <c r="D436">
        <v>6056767</v>
      </c>
      <c r="F436">
        <f t="shared" si="6"/>
        <v>26</v>
      </c>
      <c r="N436">
        <v>26</v>
      </c>
      <c r="O436">
        <v>0</v>
      </c>
      <c r="P436">
        <v>0</v>
      </c>
      <c r="Q436">
        <v>0</v>
      </c>
      <c r="R436">
        <v>0</v>
      </c>
      <c r="S436">
        <v>0</v>
      </c>
    </row>
    <row r="437" spans="4:19" x14ac:dyDescent="0.3">
      <c r="D437">
        <v>6056798</v>
      </c>
      <c r="F437">
        <f t="shared" si="6"/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</row>
    <row r="438" spans="4:19" x14ac:dyDescent="0.3">
      <c r="D438">
        <v>6056871</v>
      </c>
      <c r="F438">
        <f t="shared" si="6"/>
        <v>36</v>
      </c>
      <c r="N438">
        <v>36</v>
      </c>
      <c r="O438">
        <v>0</v>
      </c>
      <c r="P438">
        <v>0</v>
      </c>
      <c r="Q438">
        <v>0</v>
      </c>
      <c r="R438">
        <v>0</v>
      </c>
      <c r="S438">
        <v>0</v>
      </c>
    </row>
    <row r="439" spans="4:19" x14ac:dyDescent="0.3">
      <c r="D439">
        <v>6056889</v>
      </c>
      <c r="F439">
        <f t="shared" si="6"/>
        <v>38</v>
      </c>
      <c r="N439">
        <v>38</v>
      </c>
      <c r="O439">
        <v>0</v>
      </c>
      <c r="P439">
        <v>0</v>
      </c>
      <c r="Q439">
        <v>0</v>
      </c>
      <c r="R439">
        <v>0</v>
      </c>
      <c r="S439">
        <v>0</v>
      </c>
    </row>
    <row r="440" spans="4:19" x14ac:dyDescent="0.3">
      <c r="D440">
        <v>6056910</v>
      </c>
      <c r="F440">
        <f t="shared" si="6"/>
        <v>1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</row>
    <row r="441" spans="4:19" x14ac:dyDescent="0.3">
      <c r="D441">
        <v>6056925</v>
      </c>
      <c r="F441">
        <f t="shared" si="6"/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</row>
    <row r="442" spans="4:19" x14ac:dyDescent="0.3">
      <c r="D442">
        <v>6056926</v>
      </c>
      <c r="F442">
        <f t="shared" si="6"/>
        <v>5</v>
      </c>
      <c r="N442">
        <v>5</v>
      </c>
      <c r="O442">
        <v>0</v>
      </c>
      <c r="P442">
        <v>0</v>
      </c>
      <c r="Q442">
        <v>0</v>
      </c>
      <c r="R442">
        <v>0</v>
      </c>
      <c r="S442">
        <v>0</v>
      </c>
    </row>
    <row r="443" spans="4:19" x14ac:dyDescent="0.3">
      <c r="D443">
        <v>6056970</v>
      </c>
      <c r="F443">
        <f t="shared" si="6"/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</row>
    <row r="444" spans="4:19" x14ac:dyDescent="0.3">
      <c r="D444">
        <v>6056972</v>
      </c>
      <c r="F444">
        <f t="shared" si="6"/>
        <v>8</v>
      </c>
      <c r="N444">
        <v>8</v>
      </c>
      <c r="O444">
        <v>0</v>
      </c>
      <c r="P444">
        <v>0</v>
      </c>
      <c r="Q444">
        <v>0</v>
      </c>
      <c r="R444">
        <v>0</v>
      </c>
      <c r="S444">
        <v>0</v>
      </c>
    </row>
    <row r="445" spans="4:19" x14ac:dyDescent="0.3">
      <c r="D445">
        <v>6056973</v>
      </c>
      <c r="F445">
        <f t="shared" si="6"/>
        <v>56</v>
      </c>
      <c r="N445">
        <v>56</v>
      </c>
      <c r="O445">
        <v>0</v>
      </c>
      <c r="P445">
        <v>0</v>
      </c>
      <c r="Q445">
        <v>0</v>
      </c>
      <c r="R445">
        <v>0</v>
      </c>
      <c r="S445">
        <v>0</v>
      </c>
    </row>
    <row r="446" spans="4:19" x14ac:dyDescent="0.3">
      <c r="D446">
        <v>6056977</v>
      </c>
      <c r="F446">
        <f t="shared" si="6"/>
        <v>34</v>
      </c>
      <c r="N446">
        <v>34</v>
      </c>
      <c r="O446">
        <v>0</v>
      </c>
      <c r="P446">
        <v>0</v>
      </c>
      <c r="Q446">
        <v>0</v>
      </c>
      <c r="R446">
        <v>0</v>
      </c>
      <c r="S446">
        <v>0</v>
      </c>
    </row>
    <row r="447" spans="4:19" x14ac:dyDescent="0.3">
      <c r="D447">
        <v>6056978</v>
      </c>
      <c r="F447">
        <f t="shared" si="6"/>
        <v>1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</row>
    <row r="448" spans="4:19" x14ac:dyDescent="0.3">
      <c r="D448">
        <v>6056986</v>
      </c>
      <c r="F448">
        <f t="shared" si="6"/>
        <v>1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</row>
    <row r="449" spans="4:19" x14ac:dyDescent="0.3">
      <c r="D449">
        <v>6056987</v>
      </c>
      <c r="F449">
        <f t="shared" si="6"/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</row>
    <row r="450" spans="4:19" x14ac:dyDescent="0.3">
      <c r="D450">
        <v>6056988</v>
      </c>
      <c r="F450">
        <f t="shared" si="6"/>
        <v>1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</row>
    <row r="451" spans="4:19" x14ac:dyDescent="0.3">
      <c r="D451">
        <v>6056990</v>
      </c>
      <c r="F451">
        <f t="shared" ref="F451:F514" si="7">SUMIF(N451:S451,"&gt;=0")</f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</row>
    <row r="452" spans="4:19" x14ac:dyDescent="0.3">
      <c r="D452">
        <v>6056996</v>
      </c>
      <c r="F452">
        <f t="shared" si="7"/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</row>
    <row r="453" spans="4:19" x14ac:dyDescent="0.3">
      <c r="D453">
        <v>6057013</v>
      </c>
      <c r="F453">
        <f t="shared" si="7"/>
        <v>3</v>
      </c>
      <c r="N453">
        <v>3</v>
      </c>
      <c r="O453">
        <v>0</v>
      </c>
      <c r="P453">
        <v>0</v>
      </c>
      <c r="Q453">
        <v>0</v>
      </c>
      <c r="R453">
        <v>0</v>
      </c>
      <c r="S453">
        <v>0</v>
      </c>
    </row>
    <row r="454" spans="4:19" x14ac:dyDescent="0.3">
      <c r="D454">
        <v>6057028</v>
      </c>
      <c r="F454">
        <f t="shared" si="7"/>
        <v>6</v>
      </c>
      <c r="N454">
        <v>6</v>
      </c>
      <c r="O454">
        <v>0</v>
      </c>
      <c r="P454">
        <v>0</v>
      </c>
      <c r="Q454">
        <v>0</v>
      </c>
      <c r="R454">
        <v>0</v>
      </c>
      <c r="S454">
        <v>0</v>
      </c>
    </row>
    <row r="455" spans="4:19" x14ac:dyDescent="0.3">
      <c r="D455">
        <v>6057091</v>
      </c>
      <c r="F455">
        <f t="shared" si="7"/>
        <v>51</v>
      </c>
      <c r="N455">
        <v>51</v>
      </c>
      <c r="O455">
        <v>0</v>
      </c>
      <c r="P455">
        <v>0</v>
      </c>
      <c r="Q455">
        <v>0</v>
      </c>
      <c r="R455">
        <v>0</v>
      </c>
      <c r="S455">
        <v>0</v>
      </c>
    </row>
    <row r="456" spans="4:19" x14ac:dyDescent="0.3">
      <c r="D456">
        <v>6057100</v>
      </c>
      <c r="F456">
        <f t="shared" si="7"/>
        <v>2</v>
      </c>
      <c r="N456">
        <v>2</v>
      </c>
      <c r="O456">
        <v>0</v>
      </c>
      <c r="P456">
        <v>0</v>
      </c>
      <c r="Q456">
        <v>0</v>
      </c>
      <c r="R456">
        <v>0</v>
      </c>
      <c r="S456">
        <v>0</v>
      </c>
    </row>
    <row r="457" spans="4:19" x14ac:dyDescent="0.3">
      <c r="D457">
        <v>6057101</v>
      </c>
      <c r="F457">
        <f t="shared" si="7"/>
        <v>2</v>
      </c>
      <c r="N457">
        <v>2</v>
      </c>
      <c r="O457">
        <v>0</v>
      </c>
      <c r="P457">
        <v>0</v>
      </c>
      <c r="Q457">
        <v>0</v>
      </c>
      <c r="R457">
        <v>0</v>
      </c>
      <c r="S457">
        <v>0</v>
      </c>
    </row>
    <row r="458" spans="4:19" x14ac:dyDescent="0.3">
      <c r="D458">
        <v>6057143</v>
      </c>
      <c r="F458">
        <f t="shared" si="7"/>
        <v>30</v>
      </c>
      <c r="N458">
        <v>0</v>
      </c>
      <c r="O458">
        <v>30</v>
      </c>
      <c r="P458">
        <v>0</v>
      </c>
      <c r="Q458">
        <v>0</v>
      </c>
      <c r="R458">
        <v>0</v>
      </c>
      <c r="S458">
        <v>0</v>
      </c>
    </row>
    <row r="459" spans="4:19" x14ac:dyDescent="0.3">
      <c r="D459">
        <v>6057144</v>
      </c>
      <c r="F459">
        <f t="shared" si="7"/>
        <v>60</v>
      </c>
      <c r="N459">
        <v>30</v>
      </c>
      <c r="O459">
        <v>30</v>
      </c>
      <c r="P459">
        <v>0</v>
      </c>
      <c r="Q459">
        <v>0</v>
      </c>
      <c r="R459">
        <v>0</v>
      </c>
      <c r="S459">
        <v>0</v>
      </c>
    </row>
    <row r="460" spans="4:19" x14ac:dyDescent="0.3">
      <c r="D460">
        <v>6057189</v>
      </c>
      <c r="F460">
        <f t="shared" si="7"/>
        <v>40</v>
      </c>
      <c r="N460">
        <v>40</v>
      </c>
      <c r="O460">
        <v>0</v>
      </c>
      <c r="P460">
        <v>0</v>
      </c>
      <c r="Q460">
        <v>0</v>
      </c>
      <c r="R460">
        <v>0</v>
      </c>
      <c r="S460">
        <v>0</v>
      </c>
    </row>
    <row r="461" spans="4:19" x14ac:dyDescent="0.3">
      <c r="D461">
        <v>6057501</v>
      </c>
      <c r="F461">
        <f t="shared" si="7"/>
        <v>40</v>
      </c>
      <c r="N461">
        <v>40</v>
      </c>
      <c r="O461">
        <v>0</v>
      </c>
      <c r="P461">
        <v>0</v>
      </c>
      <c r="Q461">
        <v>0</v>
      </c>
      <c r="R461">
        <v>0</v>
      </c>
      <c r="S461">
        <v>0</v>
      </c>
    </row>
    <row r="462" spans="4:19" x14ac:dyDescent="0.3">
      <c r="D462">
        <v>6058457</v>
      </c>
      <c r="F462">
        <f t="shared" si="7"/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</row>
    <row r="463" spans="4:19" x14ac:dyDescent="0.3">
      <c r="D463">
        <v>6058460</v>
      </c>
      <c r="F463">
        <f t="shared" si="7"/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</row>
    <row r="464" spans="4:19" x14ac:dyDescent="0.3">
      <c r="D464">
        <v>6058569</v>
      </c>
      <c r="F464">
        <f t="shared" si="7"/>
        <v>10</v>
      </c>
      <c r="N464">
        <v>10</v>
      </c>
      <c r="O464">
        <v>0</v>
      </c>
      <c r="P464">
        <v>0</v>
      </c>
      <c r="Q464">
        <v>0</v>
      </c>
      <c r="R464">
        <v>0</v>
      </c>
      <c r="S464">
        <v>0</v>
      </c>
    </row>
    <row r="465" spans="4:19" x14ac:dyDescent="0.3">
      <c r="D465">
        <v>6059087</v>
      </c>
      <c r="F465">
        <f t="shared" si="7"/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</row>
    <row r="466" spans="4:19" x14ac:dyDescent="0.3">
      <c r="D466">
        <v>6059277</v>
      </c>
      <c r="F466">
        <f t="shared" si="7"/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</row>
    <row r="467" spans="4:19" x14ac:dyDescent="0.3">
      <c r="D467">
        <v>6059284</v>
      </c>
      <c r="F467">
        <f t="shared" si="7"/>
        <v>40</v>
      </c>
      <c r="N467">
        <v>40</v>
      </c>
      <c r="O467">
        <v>0</v>
      </c>
      <c r="P467">
        <v>0</v>
      </c>
      <c r="Q467">
        <v>0</v>
      </c>
      <c r="R467">
        <v>0</v>
      </c>
      <c r="S467">
        <v>0</v>
      </c>
    </row>
    <row r="468" spans="4:19" x14ac:dyDescent="0.3">
      <c r="D468">
        <v>6059287</v>
      </c>
      <c r="F468">
        <f t="shared" si="7"/>
        <v>9</v>
      </c>
      <c r="N468">
        <v>9</v>
      </c>
      <c r="O468">
        <v>0</v>
      </c>
      <c r="P468">
        <v>0</v>
      </c>
      <c r="Q468">
        <v>0</v>
      </c>
      <c r="R468">
        <v>0</v>
      </c>
      <c r="S468">
        <v>0</v>
      </c>
    </row>
    <row r="469" spans="4:19" x14ac:dyDescent="0.3">
      <c r="D469">
        <v>6059289</v>
      </c>
      <c r="F469">
        <f t="shared" si="7"/>
        <v>97</v>
      </c>
      <c r="N469">
        <v>97</v>
      </c>
      <c r="O469">
        <v>0</v>
      </c>
      <c r="P469">
        <v>0</v>
      </c>
      <c r="Q469">
        <v>0</v>
      </c>
      <c r="R469">
        <v>0</v>
      </c>
      <c r="S469">
        <v>0</v>
      </c>
    </row>
    <row r="470" spans="4:19" x14ac:dyDescent="0.3">
      <c r="D470">
        <v>6059345</v>
      </c>
      <c r="F470">
        <f t="shared" si="7"/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</row>
    <row r="471" spans="4:19" x14ac:dyDescent="0.3">
      <c r="D471">
        <v>6059918</v>
      </c>
      <c r="F471">
        <f t="shared" si="7"/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</row>
    <row r="472" spans="4:19" x14ac:dyDescent="0.3">
      <c r="D472" t="s">
        <v>181</v>
      </c>
      <c r="F472">
        <f t="shared" si="7"/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</row>
    <row r="473" spans="4:19" x14ac:dyDescent="0.3">
      <c r="D473">
        <v>6074035</v>
      </c>
      <c r="F473">
        <f t="shared" si="7"/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</row>
    <row r="474" spans="4:19" x14ac:dyDescent="0.3">
      <c r="D474">
        <v>6112228</v>
      </c>
      <c r="F474">
        <f t="shared" si="7"/>
        <v>8</v>
      </c>
      <c r="N474">
        <v>8</v>
      </c>
      <c r="O474">
        <v>0</v>
      </c>
      <c r="P474">
        <v>0</v>
      </c>
      <c r="Q474">
        <v>0</v>
      </c>
      <c r="R474">
        <v>0</v>
      </c>
      <c r="S474">
        <v>0</v>
      </c>
    </row>
    <row r="475" spans="4:19" x14ac:dyDescent="0.3">
      <c r="D475">
        <v>6112229</v>
      </c>
      <c r="F475">
        <f t="shared" si="7"/>
        <v>4</v>
      </c>
      <c r="N475">
        <v>4</v>
      </c>
      <c r="O475">
        <v>0</v>
      </c>
      <c r="P475">
        <v>0</v>
      </c>
      <c r="Q475">
        <v>0</v>
      </c>
      <c r="R475">
        <v>0</v>
      </c>
      <c r="S475">
        <v>0</v>
      </c>
    </row>
    <row r="476" spans="4:19" x14ac:dyDescent="0.3">
      <c r="D476">
        <v>6112230</v>
      </c>
      <c r="F476">
        <f t="shared" si="7"/>
        <v>8</v>
      </c>
      <c r="N476">
        <v>8</v>
      </c>
      <c r="O476">
        <v>0</v>
      </c>
      <c r="P476">
        <v>0</v>
      </c>
      <c r="Q476">
        <v>0</v>
      </c>
      <c r="R476">
        <v>0</v>
      </c>
      <c r="S476">
        <v>0</v>
      </c>
    </row>
    <row r="477" spans="4:19" x14ac:dyDescent="0.3">
      <c r="D477">
        <v>6112231</v>
      </c>
      <c r="F477">
        <f t="shared" si="7"/>
        <v>10</v>
      </c>
      <c r="N477">
        <v>10</v>
      </c>
      <c r="O477">
        <v>0</v>
      </c>
      <c r="P477">
        <v>0</v>
      </c>
      <c r="Q477">
        <v>0</v>
      </c>
      <c r="R477">
        <v>0</v>
      </c>
      <c r="S477">
        <v>0</v>
      </c>
    </row>
    <row r="478" spans="4:19" x14ac:dyDescent="0.3">
      <c r="D478">
        <v>6112232</v>
      </c>
      <c r="F478">
        <f t="shared" si="7"/>
        <v>10</v>
      </c>
      <c r="N478">
        <v>10</v>
      </c>
      <c r="O478">
        <v>0</v>
      </c>
      <c r="P478">
        <v>0</v>
      </c>
      <c r="Q478">
        <v>0</v>
      </c>
      <c r="R478">
        <v>0</v>
      </c>
      <c r="S478">
        <v>0</v>
      </c>
    </row>
    <row r="479" spans="4:19" x14ac:dyDescent="0.3">
      <c r="D479">
        <v>6124058</v>
      </c>
      <c r="F479">
        <f t="shared" si="7"/>
        <v>2</v>
      </c>
      <c r="N479">
        <v>2</v>
      </c>
      <c r="O479">
        <v>0</v>
      </c>
      <c r="P479">
        <v>0</v>
      </c>
      <c r="Q479">
        <v>0</v>
      </c>
      <c r="R479">
        <v>0</v>
      </c>
      <c r="S479">
        <v>0</v>
      </c>
    </row>
    <row r="480" spans="4:19" x14ac:dyDescent="0.3">
      <c r="D480">
        <v>6124063</v>
      </c>
      <c r="F480">
        <f t="shared" si="7"/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</row>
    <row r="481" spans="4:19" x14ac:dyDescent="0.3">
      <c r="D481">
        <v>6124091</v>
      </c>
      <c r="F481">
        <f t="shared" si="7"/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</row>
    <row r="482" spans="4:19" x14ac:dyDescent="0.3">
      <c r="D482">
        <v>6124237</v>
      </c>
      <c r="F482">
        <f t="shared" si="7"/>
        <v>6</v>
      </c>
      <c r="N482">
        <v>6</v>
      </c>
      <c r="O482">
        <v>0</v>
      </c>
      <c r="P482">
        <v>0</v>
      </c>
      <c r="Q482">
        <v>0</v>
      </c>
      <c r="R482">
        <v>0</v>
      </c>
      <c r="S482">
        <v>0</v>
      </c>
    </row>
    <row r="483" spans="4:19" x14ac:dyDescent="0.3">
      <c r="D483">
        <v>6124239</v>
      </c>
      <c r="F483">
        <f t="shared" si="7"/>
        <v>15</v>
      </c>
      <c r="N483">
        <v>15</v>
      </c>
      <c r="O483">
        <v>0</v>
      </c>
      <c r="P483">
        <v>0</v>
      </c>
      <c r="Q483">
        <v>0</v>
      </c>
      <c r="R483">
        <v>0</v>
      </c>
      <c r="S483">
        <v>0</v>
      </c>
    </row>
    <row r="484" spans="4:19" x14ac:dyDescent="0.3">
      <c r="D484">
        <v>6124240</v>
      </c>
      <c r="F484">
        <f t="shared" si="7"/>
        <v>3</v>
      </c>
      <c r="N484">
        <v>3</v>
      </c>
      <c r="O484">
        <v>0</v>
      </c>
      <c r="P484">
        <v>0</v>
      </c>
      <c r="Q484">
        <v>0</v>
      </c>
      <c r="R484">
        <v>0</v>
      </c>
      <c r="S484">
        <v>0</v>
      </c>
    </row>
    <row r="485" spans="4:19" x14ac:dyDescent="0.3">
      <c r="D485">
        <v>6124241</v>
      </c>
      <c r="F485">
        <f t="shared" si="7"/>
        <v>3</v>
      </c>
      <c r="N485">
        <v>3</v>
      </c>
      <c r="O485">
        <v>0</v>
      </c>
      <c r="P485">
        <v>0</v>
      </c>
      <c r="Q485">
        <v>0</v>
      </c>
      <c r="R485">
        <v>0</v>
      </c>
      <c r="S485">
        <v>0</v>
      </c>
    </row>
    <row r="486" spans="4:19" x14ac:dyDescent="0.3">
      <c r="D486">
        <v>6124243</v>
      </c>
      <c r="F486">
        <f t="shared" si="7"/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</row>
    <row r="487" spans="4:19" x14ac:dyDescent="0.3">
      <c r="D487">
        <v>6124265</v>
      </c>
      <c r="F487">
        <f t="shared" si="7"/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</row>
    <row r="488" spans="4:19" x14ac:dyDescent="0.3">
      <c r="D488">
        <v>6124299</v>
      </c>
      <c r="F488">
        <f t="shared" si="7"/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</row>
    <row r="489" spans="4:19" x14ac:dyDescent="0.3">
      <c r="D489">
        <v>6124316</v>
      </c>
      <c r="F489">
        <f t="shared" si="7"/>
        <v>3</v>
      </c>
      <c r="N489">
        <v>3</v>
      </c>
      <c r="O489">
        <v>0</v>
      </c>
      <c r="P489">
        <v>0</v>
      </c>
      <c r="Q489">
        <v>0</v>
      </c>
      <c r="R489">
        <v>0</v>
      </c>
      <c r="S489">
        <v>0</v>
      </c>
    </row>
    <row r="490" spans="4:19" x14ac:dyDescent="0.3">
      <c r="D490">
        <v>6125028</v>
      </c>
      <c r="F490">
        <f t="shared" si="7"/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</row>
    <row r="491" spans="4:19" x14ac:dyDescent="0.3">
      <c r="D491">
        <v>6125030</v>
      </c>
      <c r="F491">
        <f t="shared" si="7"/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</row>
    <row r="492" spans="4:19" x14ac:dyDescent="0.3">
      <c r="D492">
        <v>6125032</v>
      </c>
      <c r="F492">
        <f t="shared" si="7"/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</row>
    <row r="493" spans="4:19" x14ac:dyDescent="0.3">
      <c r="D493">
        <v>6125033</v>
      </c>
      <c r="F493">
        <f t="shared" si="7"/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</row>
    <row r="494" spans="4:19" x14ac:dyDescent="0.3">
      <c r="D494">
        <v>6128580</v>
      </c>
      <c r="F494">
        <f t="shared" si="7"/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</row>
    <row r="495" spans="4:19" x14ac:dyDescent="0.3">
      <c r="D495">
        <v>6128679</v>
      </c>
      <c r="F495">
        <f t="shared" si="7"/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</row>
    <row r="496" spans="4:19" x14ac:dyDescent="0.3">
      <c r="D496">
        <v>6142324</v>
      </c>
      <c r="F496">
        <f t="shared" si="7"/>
        <v>31</v>
      </c>
      <c r="N496">
        <v>31</v>
      </c>
      <c r="O496">
        <v>0</v>
      </c>
      <c r="P496">
        <v>0</v>
      </c>
      <c r="Q496">
        <v>0</v>
      </c>
      <c r="R496">
        <v>0</v>
      </c>
      <c r="S496">
        <v>0</v>
      </c>
    </row>
    <row r="497" spans="4:19" x14ac:dyDescent="0.3">
      <c r="D497">
        <v>6144110</v>
      </c>
      <c r="F497">
        <f t="shared" si="7"/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</row>
    <row r="498" spans="4:19" x14ac:dyDescent="0.3">
      <c r="D498">
        <v>6144111</v>
      </c>
      <c r="F498">
        <f t="shared" si="7"/>
        <v>14</v>
      </c>
      <c r="N498">
        <v>14</v>
      </c>
      <c r="O498">
        <v>0</v>
      </c>
      <c r="P498">
        <v>0</v>
      </c>
      <c r="Q498">
        <v>0</v>
      </c>
      <c r="R498">
        <v>0</v>
      </c>
      <c r="S498">
        <v>0</v>
      </c>
    </row>
    <row r="499" spans="4:19" x14ac:dyDescent="0.3">
      <c r="D499">
        <v>6150330</v>
      </c>
      <c r="F499">
        <f t="shared" si="7"/>
        <v>9</v>
      </c>
      <c r="N499">
        <v>9</v>
      </c>
      <c r="O499">
        <v>0</v>
      </c>
      <c r="P499">
        <v>0</v>
      </c>
      <c r="Q499">
        <v>0</v>
      </c>
      <c r="R499">
        <v>0</v>
      </c>
      <c r="S499">
        <v>0</v>
      </c>
    </row>
    <row r="500" spans="4:19" x14ac:dyDescent="0.3">
      <c r="D500">
        <v>6150332</v>
      </c>
      <c r="F500">
        <f t="shared" si="7"/>
        <v>5</v>
      </c>
      <c r="N500">
        <v>5</v>
      </c>
      <c r="O500">
        <v>0</v>
      </c>
      <c r="P500">
        <v>0</v>
      </c>
      <c r="Q500">
        <v>0</v>
      </c>
      <c r="R500">
        <v>0</v>
      </c>
      <c r="S500">
        <v>0</v>
      </c>
    </row>
    <row r="501" spans="4:19" x14ac:dyDescent="0.3">
      <c r="D501">
        <v>6151170</v>
      </c>
      <c r="F501">
        <f t="shared" si="7"/>
        <v>20</v>
      </c>
      <c r="N501">
        <v>20</v>
      </c>
      <c r="O501">
        <v>0</v>
      </c>
      <c r="P501">
        <v>0</v>
      </c>
      <c r="Q501">
        <v>0</v>
      </c>
      <c r="R501">
        <v>0</v>
      </c>
      <c r="S501">
        <v>0</v>
      </c>
    </row>
    <row r="502" spans="4:19" x14ac:dyDescent="0.3">
      <c r="D502">
        <v>6152221</v>
      </c>
      <c r="F502">
        <f t="shared" si="7"/>
        <v>457</v>
      </c>
      <c r="N502">
        <v>457</v>
      </c>
      <c r="O502">
        <v>0</v>
      </c>
      <c r="P502">
        <v>0</v>
      </c>
      <c r="Q502">
        <v>0</v>
      </c>
      <c r="R502">
        <v>0</v>
      </c>
      <c r="S502">
        <v>0</v>
      </c>
    </row>
    <row r="503" spans="4:19" x14ac:dyDescent="0.3">
      <c r="D503">
        <v>6152282</v>
      </c>
      <c r="F503">
        <f t="shared" si="7"/>
        <v>68</v>
      </c>
      <c r="N503">
        <v>68</v>
      </c>
      <c r="O503">
        <v>0</v>
      </c>
      <c r="P503">
        <v>0</v>
      </c>
      <c r="Q503">
        <v>0</v>
      </c>
      <c r="R503">
        <v>0</v>
      </c>
      <c r="S503">
        <v>0</v>
      </c>
    </row>
    <row r="504" spans="4:19" x14ac:dyDescent="0.3">
      <c r="D504">
        <v>6152343</v>
      </c>
      <c r="F504">
        <f t="shared" si="7"/>
        <v>1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0</v>
      </c>
    </row>
    <row r="505" spans="4:19" x14ac:dyDescent="0.3">
      <c r="D505">
        <v>6152344</v>
      </c>
      <c r="F505">
        <f t="shared" si="7"/>
        <v>27</v>
      </c>
      <c r="N505">
        <v>27</v>
      </c>
      <c r="O505">
        <v>0</v>
      </c>
      <c r="P505">
        <v>0</v>
      </c>
      <c r="Q505">
        <v>0</v>
      </c>
      <c r="R505">
        <v>0</v>
      </c>
      <c r="S505">
        <v>0</v>
      </c>
    </row>
    <row r="506" spans="4:19" x14ac:dyDescent="0.3">
      <c r="D506">
        <v>6152352</v>
      </c>
      <c r="F506">
        <f t="shared" si="7"/>
        <v>17</v>
      </c>
      <c r="N506">
        <v>17</v>
      </c>
      <c r="O506">
        <v>0</v>
      </c>
      <c r="P506">
        <v>0</v>
      </c>
      <c r="Q506">
        <v>0</v>
      </c>
      <c r="R506">
        <v>0</v>
      </c>
      <c r="S506">
        <v>0</v>
      </c>
    </row>
    <row r="507" spans="4:19" x14ac:dyDescent="0.3">
      <c r="D507">
        <v>6152477</v>
      </c>
      <c r="F507">
        <f t="shared" si="7"/>
        <v>4</v>
      </c>
      <c r="N507">
        <v>4</v>
      </c>
      <c r="O507">
        <v>0</v>
      </c>
      <c r="P507">
        <v>0</v>
      </c>
      <c r="Q507">
        <v>0</v>
      </c>
      <c r="R507">
        <v>0</v>
      </c>
      <c r="S507">
        <v>0</v>
      </c>
    </row>
    <row r="508" spans="4:19" x14ac:dyDescent="0.3">
      <c r="D508">
        <v>6152480</v>
      </c>
      <c r="F508">
        <f t="shared" si="7"/>
        <v>46</v>
      </c>
      <c r="N508">
        <v>46</v>
      </c>
      <c r="O508">
        <v>0</v>
      </c>
      <c r="P508">
        <v>0</v>
      </c>
      <c r="Q508">
        <v>0</v>
      </c>
      <c r="R508">
        <v>0</v>
      </c>
      <c r="S508">
        <v>0</v>
      </c>
    </row>
    <row r="509" spans="4:19" x14ac:dyDescent="0.3">
      <c r="D509">
        <v>6152481</v>
      </c>
      <c r="F509">
        <f t="shared" si="7"/>
        <v>101</v>
      </c>
      <c r="N509">
        <v>101</v>
      </c>
      <c r="O509">
        <v>0</v>
      </c>
      <c r="P509">
        <v>0</v>
      </c>
      <c r="Q509">
        <v>0</v>
      </c>
      <c r="R509">
        <v>0</v>
      </c>
      <c r="S509">
        <v>0</v>
      </c>
    </row>
    <row r="510" spans="4:19" x14ac:dyDescent="0.3">
      <c r="D510">
        <v>6152497</v>
      </c>
      <c r="F510">
        <f t="shared" si="7"/>
        <v>4</v>
      </c>
      <c r="N510">
        <v>4</v>
      </c>
      <c r="O510">
        <v>0</v>
      </c>
      <c r="P510">
        <v>0</v>
      </c>
      <c r="Q510">
        <v>0</v>
      </c>
      <c r="R510">
        <v>0</v>
      </c>
      <c r="S510">
        <v>0</v>
      </c>
    </row>
    <row r="511" spans="4:19" x14ac:dyDescent="0.3">
      <c r="D511">
        <v>6152559</v>
      </c>
      <c r="F511">
        <f t="shared" si="7"/>
        <v>3</v>
      </c>
      <c r="N511">
        <v>3</v>
      </c>
      <c r="O511">
        <v>0</v>
      </c>
      <c r="P511">
        <v>0</v>
      </c>
      <c r="Q511">
        <v>0</v>
      </c>
      <c r="R511">
        <v>0</v>
      </c>
      <c r="S511">
        <v>0</v>
      </c>
    </row>
    <row r="512" spans="4:19" x14ac:dyDescent="0.3">
      <c r="D512">
        <v>6152626</v>
      </c>
      <c r="F512">
        <f t="shared" si="7"/>
        <v>68</v>
      </c>
      <c r="N512">
        <v>68</v>
      </c>
      <c r="O512">
        <v>0</v>
      </c>
      <c r="P512">
        <v>0</v>
      </c>
      <c r="Q512">
        <v>0</v>
      </c>
      <c r="R512">
        <v>0</v>
      </c>
      <c r="S512">
        <v>0</v>
      </c>
    </row>
    <row r="513" spans="4:19" x14ac:dyDescent="0.3">
      <c r="D513">
        <v>6152643</v>
      </c>
      <c r="F513">
        <f t="shared" si="7"/>
        <v>21</v>
      </c>
      <c r="N513">
        <v>21</v>
      </c>
      <c r="O513">
        <v>0</v>
      </c>
      <c r="P513">
        <v>0</v>
      </c>
      <c r="Q513">
        <v>0</v>
      </c>
      <c r="R513">
        <v>0</v>
      </c>
      <c r="S513">
        <v>0</v>
      </c>
    </row>
    <row r="514" spans="4:19" x14ac:dyDescent="0.3">
      <c r="D514">
        <v>6152745</v>
      </c>
      <c r="F514">
        <f t="shared" si="7"/>
        <v>35</v>
      </c>
      <c r="N514">
        <v>35</v>
      </c>
      <c r="O514">
        <v>0</v>
      </c>
      <c r="P514">
        <v>0</v>
      </c>
      <c r="Q514">
        <v>0</v>
      </c>
      <c r="R514">
        <v>0</v>
      </c>
      <c r="S514">
        <v>0</v>
      </c>
    </row>
    <row r="515" spans="4:19" x14ac:dyDescent="0.3">
      <c r="D515">
        <v>6152824</v>
      </c>
      <c r="F515">
        <f t="shared" ref="F515:F578" si="8">SUMIF(N515:S515,"&gt;=0")</f>
        <v>29</v>
      </c>
      <c r="N515">
        <v>29</v>
      </c>
      <c r="O515">
        <v>0</v>
      </c>
      <c r="P515">
        <v>0</v>
      </c>
      <c r="Q515">
        <v>0</v>
      </c>
      <c r="R515">
        <v>0</v>
      </c>
      <c r="S515">
        <v>0</v>
      </c>
    </row>
    <row r="516" spans="4:19" x14ac:dyDescent="0.3">
      <c r="D516">
        <v>6153290</v>
      </c>
      <c r="F516">
        <f t="shared" si="8"/>
        <v>10</v>
      </c>
      <c r="N516">
        <v>10</v>
      </c>
      <c r="O516">
        <v>0</v>
      </c>
      <c r="P516">
        <v>0</v>
      </c>
      <c r="Q516">
        <v>0</v>
      </c>
      <c r="R516">
        <v>0</v>
      </c>
      <c r="S516">
        <v>0</v>
      </c>
    </row>
    <row r="517" spans="4:19" x14ac:dyDescent="0.3">
      <c r="D517">
        <v>6153414</v>
      </c>
      <c r="F517">
        <f t="shared" si="8"/>
        <v>3</v>
      </c>
      <c r="N517">
        <v>3</v>
      </c>
      <c r="O517">
        <v>0</v>
      </c>
      <c r="P517">
        <v>0</v>
      </c>
      <c r="Q517">
        <v>0</v>
      </c>
      <c r="R517">
        <v>0</v>
      </c>
      <c r="S517">
        <v>0</v>
      </c>
    </row>
    <row r="518" spans="4:19" x14ac:dyDescent="0.3">
      <c r="D518">
        <v>6153415</v>
      </c>
      <c r="F518">
        <f t="shared" si="8"/>
        <v>11</v>
      </c>
      <c r="N518">
        <v>11</v>
      </c>
      <c r="O518">
        <v>0</v>
      </c>
      <c r="P518">
        <v>0</v>
      </c>
      <c r="Q518">
        <v>0</v>
      </c>
      <c r="R518">
        <v>0</v>
      </c>
      <c r="S518">
        <v>0</v>
      </c>
    </row>
    <row r="519" spans="4:19" x14ac:dyDescent="0.3">
      <c r="D519">
        <v>6154123</v>
      </c>
      <c r="F519">
        <f t="shared" si="8"/>
        <v>8</v>
      </c>
      <c r="N519">
        <v>8</v>
      </c>
      <c r="O519">
        <v>0</v>
      </c>
      <c r="P519">
        <v>0</v>
      </c>
      <c r="Q519">
        <v>0</v>
      </c>
      <c r="R519">
        <v>0</v>
      </c>
      <c r="S519">
        <v>0</v>
      </c>
    </row>
    <row r="520" spans="4:19" x14ac:dyDescent="0.3">
      <c r="D520">
        <v>6154482</v>
      </c>
      <c r="F520">
        <f t="shared" si="8"/>
        <v>96</v>
      </c>
      <c r="N520">
        <v>96</v>
      </c>
      <c r="O520">
        <v>0</v>
      </c>
      <c r="P520">
        <v>0</v>
      </c>
      <c r="Q520">
        <v>0</v>
      </c>
      <c r="R520">
        <v>0</v>
      </c>
      <c r="S520">
        <v>0</v>
      </c>
    </row>
    <row r="521" spans="4:19" x14ac:dyDescent="0.3">
      <c r="D521">
        <v>6154489</v>
      </c>
      <c r="F521">
        <f t="shared" si="8"/>
        <v>34</v>
      </c>
      <c r="N521">
        <v>34</v>
      </c>
      <c r="O521">
        <v>0</v>
      </c>
      <c r="P521">
        <v>0</v>
      </c>
      <c r="Q521">
        <v>0</v>
      </c>
      <c r="R521">
        <v>0</v>
      </c>
      <c r="S521">
        <v>0</v>
      </c>
    </row>
    <row r="522" spans="4:19" x14ac:dyDescent="0.3">
      <c r="D522">
        <v>6154490</v>
      </c>
      <c r="F522">
        <f t="shared" si="8"/>
        <v>190</v>
      </c>
      <c r="N522">
        <v>190</v>
      </c>
      <c r="O522">
        <v>0</v>
      </c>
      <c r="P522">
        <v>0</v>
      </c>
      <c r="Q522">
        <v>0</v>
      </c>
      <c r="R522">
        <v>0</v>
      </c>
      <c r="S522">
        <v>0</v>
      </c>
    </row>
    <row r="523" spans="4:19" x14ac:dyDescent="0.3">
      <c r="D523">
        <v>6154503</v>
      </c>
      <c r="F523">
        <f t="shared" si="8"/>
        <v>65</v>
      </c>
      <c r="N523">
        <v>65</v>
      </c>
      <c r="O523">
        <v>0</v>
      </c>
      <c r="P523">
        <v>0</v>
      </c>
      <c r="Q523">
        <v>0</v>
      </c>
      <c r="R523">
        <v>0</v>
      </c>
      <c r="S523">
        <v>0</v>
      </c>
    </row>
    <row r="524" spans="4:19" x14ac:dyDescent="0.3">
      <c r="D524">
        <v>6154522</v>
      </c>
      <c r="F524">
        <f t="shared" si="8"/>
        <v>57</v>
      </c>
      <c r="N524">
        <v>57</v>
      </c>
      <c r="O524">
        <v>0</v>
      </c>
      <c r="P524">
        <v>0</v>
      </c>
      <c r="Q524">
        <v>0</v>
      </c>
      <c r="R524">
        <v>0</v>
      </c>
      <c r="S524">
        <v>0</v>
      </c>
    </row>
    <row r="525" spans="4:19" x14ac:dyDescent="0.3">
      <c r="D525">
        <v>6154545</v>
      </c>
      <c r="F525">
        <f t="shared" si="8"/>
        <v>3</v>
      </c>
      <c r="N525">
        <v>3</v>
      </c>
      <c r="O525">
        <v>0</v>
      </c>
      <c r="P525">
        <v>0</v>
      </c>
      <c r="Q525">
        <v>0</v>
      </c>
      <c r="R525">
        <v>0</v>
      </c>
      <c r="S525">
        <v>0</v>
      </c>
    </row>
    <row r="526" spans="4:19" x14ac:dyDescent="0.3">
      <c r="D526">
        <v>6154677</v>
      </c>
      <c r="F526">
        <f t="shared" si="8"/>
        <v>5</v>
      </c>
      <c r="N526">
        <v>5</v>
      </c>
      <c r="O526">
        <v>0</v>
      </c>
      <c r="P526">
        <v>0</v>
      </c>
      <c r="Q526">
        <v>0</v>
      </c>
      <c r="R526">
        <v>0</v>
      </c>
      <c r="S526">
        <v>0</v>
      </c>
    </row>
    <row r="527" spans="4:19" x14ac:dyDescent="0.3">
      <c r="D527">
        <v>6154732</v>
      </c>
      <c r="F527">
        <f t="shared" si="8"/>
        <v>1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0</v>
      </c>
    </row>
    <row r="528" spans="4:19" x14ac:dyDescent="0.3">
      <c r="D528">
        <v>6154749</v>
      </c>
      <c r="F528">
        <f t="shared" si="8"/>
        <v>2</v>
      </c>
      <c r="N528">
        <v>2</v>
      </c>
      <c r="O528">
        <v>0</v>
      </c>
      <c r="P528">
        <v>0</v>
      </c>
      <c r="Q528">
        <v>0</v>
      </c>
      <c r="R528">
        <v>0</v>
      </c>
      <c r="S528">
        <v>0</v>
      </c>
    </row>
    <row r="529" spans="4:19" x14ac:dyDescent="0.3">
      <c r="D529">
        <v>6154750</v>
      </c>
      <c r="F529">
        <f t="shared" si="8"/>
        <v>2</v>
      </c>
      <c r="N529">
        <v>2</v>
      </c>
      <c r="O529">
        <v>0</v>
      </c>
      <c r="P529">
        <v>0</v>
      </c>
      <c r="Q529">
        <v>0</v>
      </c>
      <c r="R529">
        <v>0</v>
      </c>
      <c r="S529">
        <v>0</v>
      </c>
    </row>
    <row r="530" spans="4:19" x14ac:dyDescent="0.3">
      <c r="D530">
        <v>6154754</v>
      </c>
      <c r="F530">
        <f t="shared" si="8"/>
        <v>18</v>
      </c>
      <c r="N530">
        <v>16</v>
      </c>
      <c r="O530">
        <v>2</v>
      </c>
      <c r="P530">
        <v>0</v>
      </c>
      <c r="Q530">
        <v>0</v>
      </c>
      <c r="R530">
        <v>0</v>
      </c>
      <c r="S530">
        <v>0</v>
      </c>
    </row>
    <row r="531" spans="4:19" x14ac:dyDescent="0.3">
      <c r="D531">
        <v>6154755</v>
      </c>
      <c r="F531">
        <f t="shared" si="8"/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</row>
    <row r="532" spans="4:19" x14ac:dyDescent="0.3">
      <c r="D532">
        <v>6155127</v>
      </c>
      <c r="F532">
        <f t="shared" si="8"/>
        <v>90</v>
      </c>
      <c r="N532">
        <v>90</v>
      </c>
      <c r="O532">
        <v>0</v>
      </c>
      <c r="P532">
        <v>0</v>
      </c>
      <c r="Q532">
        <v>0</v>
      </c>
      <c r="R532">
        <v>0</v>
      </c>
      <c r="S532">
        <v>0</v>
      </c>
    </row>
    <row r="533" spans="4:19" x14ac:dyDescent="0.3">
      <c r="D533">
        <v>6155130</v>
      </c>
      <c r="F533">
        <f t="shared" si="8"/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</row>
    <row r="534" spans="4:19" x14ac:dyDescent="0.3">
      <c r="D534">
        <v>6158316</v>
      </c>
      <c r="F534">
        <f t="shared" si="8"/>
        <v>4</v>
      </c>
      <c r="N534">
        <v>4</v>
      </c>
      <c r="O534">
        <v>0</v>
      </c>
      <c r="P534">
        <v>0</v>
      </c>
      <c r="Q534">
        <v>0</v>
      </c>
      <c r="R534">
        <v>0</v>
      </c>
      <c r="S534">
        <v>0</v>
      </c>
    </row>
    <row r="535" spans="4:19" x14ac:dyDescent="0.3">
      <c r="D535">
        <v>6159116</v>
      </c>
      <c r="F535">
        <f t="shared" si="8"/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</row>
    <row r="536" spans="4:19" x14ac:dyDescent="0.3">
      <c r="D536">
        <v>6162939</v>
      </c>
      <c r="F536">
        <f t="shared" si="8"/>
        <v>28</v>
      </c>
      <c r="N536">
        <v>28</v>
      </c>
      <c r="O536">
        <v>0</v>
      </c>
      <c r="P536">
        <v>0</v>
      </c>
      <c r="Q536">
        <v>0</v>
      </c>
      <c r="R536">
        <v>0</v>
      </c>
      <c r="S536">
        <v>0</v>
      </c>
    </row>
    <row r="537" spans="4:19" x14ac:dyDescent="0.3">
      <c r="D537">
        <v>6163112</v>
      </c>
      <c r="F537">
        <f t="shared" si="8"/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</row>
    <row r="538" spans="4:19" x14ac:dyDescent="0.3">
      <c r="D538">
        <v>6163187</v>
      </c>
      <c r="F538">
        <f t="shared" si="8"/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</row>
    <row r="539" spans="4:19" x14ac:dyDescent="0.3">
      <c r="D539">
        <v>6163222</v>
      </c>
      <c r="F539">
        <f t="shared" si="8"/>
        <v>14</v>
      </c>
      <c r="N539">
        <v>14</v>
      </c>
      <c r="O539">
        <v>0</v>
      </c>
      <c r="P539">
        <v>0</v>
      </c>
      <c r="Q539">
        <v>0</v>
      </c>
      <c r="R539">
        <v>0</v>
      </c>
      <c r="S539">
        <v>0</v>
      </c>
    </row>
    <row r="540" spans="4:19" x14ac:dyDescent="0.3">
      <c r="D540">
        <v>6163231</v>
      </c>
      <c r="F540">
        <f t="shared" si="8"/>
        <v>5</v>
      </c>
      <c r="N540">
        <v>5</v>
      </c>
      <c r="O540">
        <v>0</v>
      </c>
      <c r="P540">
        <v>0</v>
      </c>
      <c r="Q540">
        <v>0</v>
      </c>
      <c r="R540">
        <v>0</v>
      </c>
      <c r="S540">
        <v>0</v>
      </c>
    </row>
    <row r="541" spans="4:19" x14ac:dyDescent="0.3">
      <c r="D541">
        <v>6163275</v>
      </c>
      <c r="F541">
        <f t="shared" si="8"/>
        <v>5</v>
      </c>
      <c r="N541">
        <v>5</v>
      </c>
      <c r="O541">
        <v>0</v>
      </c>
      <c r="P541">
        <v>0</v>
      </c>
      <c r="Q541">
        <v>0</v>
      </c>
      <c r="R541">
        <v>0</v>
      </c>
      <c r="S541">
        <v>0</v>
      </c>
    </row>
    <row r="542" spans="4:19" x14ac:dyDescent="0.3">
      <c r="D542">
        <v>6164005</v>
      </c>
      <c r="F542">
        <f t="shared" si="8"/>
        <v>107</v>
      </c>
      <c r="N542">
        <v>107</v>
      </c>
      <c r="O542">
        <v>0</v>
      </c>
      <c r="P542">
        <v>0</v>
      </c>
      <c r="Q542">
        <v>0</v>
      </c>
      <c r="R542">
        <v>0</v>
      </c>
      <c r="S542">
        <v>0</v>
      </c>
    </row>
    <row r="543" spans="4:19" x14ac:dyDescent="0.3">
      <c r="D543">
        <v>6164033</v>
      </c>
      <c r="F543">
        <f t="shared" si="8"/>
        <v>15</v>
      </c>
      <c r="N543">
        <v>15</v>
      </c>
      <c r="O543">
        <v>0</v>
      </c>
      <c r="P543">
        <v>0</v>
      </c>
      <c r="Q543">
        <v>0</v>
      </c>
      <c r="R543">
        <v>0</v>
      </c>
      <c r="S543">
        <v>0</v>
      </c>
    </row>
    <row r="544" spans="4:19" x14ac:dyDescent="0.3">
      <c r="D544">
        <v>6164042</v>
      </c>
      <c r="F544">
        <f t="shared" si="8"/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</row>
    <row r="545" spans="4:19" x14ac:dyDescent="0.3">
      <c r="D545">
        <v>6164043</v>
      </c>
      <c r="F545">
        <f t="shared" si="8"/>
        <v>6</v>
      </c>
      <c r="N545">
        <v>6</v>
      </c>
      <c r="O545">
        <v>0</v>
      </c>
      <c r="P545">
        <v>0</v>
      </c>
      <c r="Q545">
        <v>0</v>
      </c>
      <c r="R545">
        <v>0</v>
      </c>
      <c r="S545">
        <v>0</v>
      </c>
    </row>
    <row r="546" spans="4:19" x14ac:dyDescent="0.3">
      <c r="D546">
        <v>6164044</v>
      </c>
      <c r="F546">
        <f t="shared" si="8"/>
        <v>5</v>
      </c>
      <c r="N546">
        <v>5</v>
      </c>
      <c r="O546">
        <v>0</v>
      </c>
      <c r="P546">
        <v>0</v>
      </c>
      <c r="Q546">
        <v>0</v>
      </c>
      <c r="R546">
        <v>0</v>
      </c>
      <c r="S546">
        <v>0</v>
      </c>
    </row>
    <row r="547" spans="4:19" x14ac:dyDescent="0.3">
      <c r="D547">
        <v>6164097</v>
      </c>
      <c r="F547">
        <f t="shared" si="8"/>
        <v>1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0</v>
      </c>
    </row>
    <row r="548" spans="4:19" x14ac:dyDescent="0.3">
      <c r="D548">
        <v>6164108</v>
      </c>
      <c r="F548">
        <f t="shared" si="8"/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</row>
    <row r="549" spans="4:19" x14ac:dyDescent="0.3">
      <c r="D549">
        <v>6164109</v>
      </c>
      <c r="F549">
        <f t="shared" si="8"/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</row>
    <row r="550" spans="4:19" x14ac:dyDescent="0.3">
      <c r="D550">
        <v>6164110</v>
      </c>
      <c r="F550">
        <f t="shared" si="8"/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</row>
    <row r="551" spans="4:19" x14ac:dyDescent="0.3">
      <c r="D551">
        <v>6164145</v>
      </c>
      <c r="F551">
        <f t="shared" si="8"/>
        <v>8</v>
      </c>
      <c r="N551">
        <v>8</v>
      </c>
      <c r="O551">
        <v>0</v>
      </c>
      <c r="P551">
        <v>0</v>
      </c>
      <c r="Q551">
        <v>0</v>
      </c>
      <c r="R551">
        <v>0</v>
      </c>
      <c r="S551">
        <v>0</v>
      </c>
    </row>
    <row r="552" spans="4:19" x14ac:dyDescent="0.3">
      <c r="D552">
        <v>6164204</v>
      </c>
      <c r="F552">
        <f t="shared" si="8"/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</row>
    <row r="553" spans="4:19" x14ac:dyDescent="0.3">
      <c r="D553">
        <v>6164214</v>
      </c>
      <c r="F553">
        <f t="shared" si="8"/>
        <v>3</v>
      </c>
      <c r="N553">
        <v>3</v>
      </c>
      <c r="O553">
        <v>0</v>
      </c>
      <c r="P553">
        <v>0</v>
      </c>
      <c r="Q553">
        <v>0</v>
      </c>
      <c r="R553">
        <v>0</v>
      </c>
      <c r="S553">
        <v>0</v>
      </c>
    </row>
    <row r="554" spans="4:19" x14ac:dyDescent="0.3">
      <c r="D554">
        <v>6164228</v>
      </c>
      <c r="F554">
        <f t="shared" si="8"/>
        <v>4</v>
      </c>
      <c r="N554">
        <v>4</v>
      </c>
      <c r="O554">
        <v>0</v>
      </c>
      <c r="P554">
        <v>0</v>
      </c>
      <c r="Q554">
        <v>0</v>
      </c>
      <c r="R554">
        <v>0</v>
      </c>
      <c r="S554">
        <v>0</v>
      </c>
    </row>
    <row r="555" spans="4:19" x14ac:dyDescent="0.3">
      <c r="D555">
        <v>6164235</v>
      </c>
      <c r="F555">
        <f t="shared" si="8"/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</row>
    <row r="556" spans="4:19" x14ac:dyDescent="0.3">
      <c r="D556">
        <v>6164239</v>
      </c>
      <c r="F556">
        <f t="shared" si="8"/>
        <v>20</v>
      </c>
      <c r="N556">
        <v>20</v>
      </c>
      <c r="O556">
        <v>0</v>
      </c>
      <c r="P556">
        <v>0</v>
      </c>
      <c r="Q556">
        <v>0</v>
      </c>
      <c r="R556">
        <v>0</v>
      </c>
      <c r="S556">
        <v>0</v>
      </c>
    </row>
    <row r="557" spans="4:19" x14ac:dyDescent="0.3">
      <c r="D557">
        <v>6168384</v>
      </c>
      <c r="F557">
        <f t="shared" si="8"/>
        <v>2</v>
      </c>
      <c r="N557">
        <v>2</v>
      </c>
      <c r="O557">
        <v>0</v>
      </c>
      <c r="P557">
        <v>0</v>
      </c>
      <c r="Q557">
        <v>0</v>
      </c>
      <c r="R557">
        <v>0</v>
      </c>
      <c r="S557">
        <v>0</v>
      </c>
    </row>
    <row r="558" spans="4:19" x14ac:dyDescent="0.3">
      <c r="D558">
        <v>6180031</v>
      </c>
      <c r="F558">
        <f t="shared" si="8"/>
        <v>1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0</v>
      </c>
    </row>
    <row r="559" spans="4:19" x14ac:dyDescent="0.3">
      <c r="D559">
        <v>6182353</v>
      </c>
      <c r="F559">
        <f t="shared" si="8"/>
        <v>2</v>
      </c>
      <c r="N559">
        <v>2</v>
      </c>
      <c r="O559">
        <v>0</v>
      </c>
      <c r="P559">
        <v>0</v>
      </c>
      <c r="Q559">
        <v>0</v>
      </c>
      <c r="R559">
        <v>0</v>
      </c>
      <c r="S559">
        <v>0</v>
      </c>
    </row>
    <row r="560" spans="4:19" x14ac:dyDescent="0.3">
      <c r="D560">
        <v>6192147</v>
      </c>
      <c r="F560">
        <f t="shared" si="8"/>
        <v>11</v>
      </c>
      <c r="N560">
        <v>11</v>
      </c>
      <c r="O560">
        <v>0</v>
      </c>
      <c r="P560">
        <v>0</v>
      </c>
      <c r="Q560">
        <v>0</v>
      </c>
      <c r="R560">
        <v>0</v>
      </c>
      <c r="S560">
        <v>0</v>
      </c>
    </row>
    <row r="561" spans="4:19" x14ac:dyDescent="0.3">
      <c r="D561">
        <v>6202811</v>
      </c>
      <c r="F561">
        <f t="shared" si="8"/>
        <v>1</v>
      </c>
      <c r="N561">
        <v>1</v>
      </c>
      <c r="O561">
        <v>0</v>
      </c>
      <c r="P561">
        <v>0</v>
      </c>
      <c r="Q561">
        <v>0</v>
      </c>
      <c r="R561">
        <v>0</v>
      </c>
      <c r="S561">
        <v>0</v>
      </c>
    </row>
    <row r="562" spans="4:19" x14ac:dyDescent="0.3">
      <c r="D562">
        <v>6202928</v>
      </c>
      <c r="F562">
        <f t="shared" si="8"/>
        <v>29</v>
      </c>
      <c r="N562">
        <v>19</v>
      </c>
      <c r="O562">
        <v>10</v>
      </c>
      <c r="P562">
        <v>0</v>
      </c>
      <c r="Q562">
        <v>0</v>
      </c>
      <c r="R562">
        <v>0</v>
      </c>
      <c r="S562">
        <v>0</v>
      </c>
    </row>
    <row r="563" spans="4:19" x14ac:dyDescent="0.3">
      <c r="D563">
        <v>6202960</v>
      </c>
      <c r="F563">
        <f t="shared" si="8"/>
        <v>6</v>
      </c>
      <c r="N563">
        <v>6</v>
      </c>
      <c r="O563">
        <v>0</v>
      </c>
      <c r="P563">
        <v>0</v>
      </c>
      <c r="Q563">
        <v>0</v>
      </c>
      <c r="R563">
        <v>0</v>
      </c>
      <c r="S563">
        <v>0</v>
      </c>
    </row>
    <row r="564" spans="4:19" x14ac:dyDescent="0.3">
      <c r="D564">
        <v>6203016</v>
      </c>
      <c r="F564">
        <f t="shared" si="8"/>
        <v>45</v>
      </c>
      <c r="N564">
        <v>45</v>
      </c>
      <c r="O564">
        <v>0</v>
      </c>
      <c r="P564">
        <v>0</v>
      </c>
      <c r="Q564">
        <v>0</v>
      </c>
      <c r="R564">
        <v>0</v>
      </c>
      <c r="S564">
        <v>0</v>
      </c>
    </row>
    <row r="565" spans="4:19" x14ac:dyDescent="0.3">
      <c r="D565">
        <v>6203054</v>
      </c>
      <c r="F565">
        <f t="shared" si="8"/>
        <v>246</v>
      </c>
      <c r="N565">
        <v>246</v>
      </c>
      <c r="O565">
        <v>0</v>
      </c>
      <c r="P565">
        <v>0</v>
      </c>
      <c r="Q565">
        <v>0</v>
      </c>
      <c r="R565">
        <v>0</v>
      </c>
      <c r="S565">
        <v>0</v>
      </c>
    </row>
    <row r="566" spans="4:19" x14ac:dyDescent="0.3">
      <c r="D566">
        <v>6204232</v>
      </c>
      <c r="F566">
        <f t="shared" si="8"/>
        <v>114</v>
      </c>
      <c r="N566">
        <v>114</v>
      </c>
      <c r="O566">
        <v>0</v>
      </c>
      <c r="P566">
        <v>0</v>
      </c>
      <c r="Q566">
        <v>0</v>
      </c>
      <c r="R566">
        <v>0</v>
      </c>
      <c r="S566">
        <v>0</v>
      </c>
    </row>
    <row r="567" spans="4:19" x14ac:dyDescent="0.3">
      <c r="D567">
        <v>6204244</v>
      </c>
      <c r="F567">
        <f t="shared" si="8"/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</row>
    <row r="568" spans="4:19" x14ac:dyDescent="0.3">
      <c r="D568">
        <v>6204256</v>
      </c>
      <c r="F568">
        <f t="shared" si="8"/>
        <v>90</v>
      </c>
      <c r="N568">
        <v>90</v>
      </c>
      <c r="O568">
        <v>0</v>
      </c>
      <c r="P568">
        <v>0</v>
      </c>
      <c r="Q568">
        <v>0</v>
      </c>
      <c r="R568">
        <v>0</v>
      </c>
      <c r="S568">
        <v>0</v>
      </c>
    </row>
    <row r="569" spans="4:19" x14ac:dyDescent="0.3">
      <c r="D569">
        <v>6204258</v>
      </c>
      <c r="F569">
        <f t="shared" si="8"/>
        <v>31</v>
      </c>
      <c r="N569">
        <v>31</v>
      </c>
      <c r="O569">
        <v>0</v>
      </c>
      <c r="P569">
        <v>0</v>
      </c>
      <c r="Q569">
        <v>0</v>
      </c>
      <c r="R569">
        <v>0</v>
      </c>
      <c r="S569">
        <v>0</v>
      </c>
    </row>
    <row r="570" spans="4:19" x14ac:dyDescent="0.3">
      <c r="D570">
        <v>6204260</v>
      </c>
      <c r="F570">
        <f t="shared" si="8"/>
        <v>12</v>
      </c>
      <c r="N570">
        <v>12</v>
      </c>
      <c r="O570">
        <v>0</v>
      </c>
      <c r="P570">
        <v>0</v>
      </c>
      <c r="Q570">
        <v>0</v>
      </c>
      <c r="R570">
        <v>0</v>
      </c>
      <c r="S570">
        <v>0</v>
      </c>
    </row>
    <row r="571" spans="4:19" x14ac:dyDescent="0.3">
      <c r="D571">
        <v>6252051</v>
      </c>
      <c r="F571">
        <f t="shared" si="8"/>
        <v>65</v>
      </c>
      <c r="N571">
        <v>65</v>
      </c>
      <c r="O571">
        <v>0</v>
      </c>
      <c r="P571">
        <v>0</v>
      </c>
      <c r="Q571">
        <v>0</v>
      </c>
      <c r="R571">
        <v>0</v>
      </c>
      <c r="S571">
        <v>0</v>
      </c>
    </row>
    <row r="572" spans="4:19" x14ac:dyDescent="0.3">
      <c r="D572">
        <v>6252379</v>
      </c>
      <c r="F572">
        <f t="shared" si="8"/>
        <v>545</v>
      </c>
      <c r="N572">
        <v>545</v>
      </c>
      <c r="O572">
        <v>0</v>
      </c>
      <c r="P572">
        <v>0</v>
      </c>
      <c r="Q572">
        <v>0</v>
      </c>
      <c r="R572">
        <v>0</v>
      </c>
      <c r="S572">
        <v>0</v>
      </c>
    </row>
    <row r="573" spans="4:19" x14ac:dyDescent="0.3">
      <c r="D573">
        <v>6253466</v>
      </c>
      <c r="F573">
        <f t="shared" si="8"/>
        <v>151</v>
      </c>
      <c r="N573">
        <v>151</v>
      </c>
      <c r="O573">
        <v>0</v>
      </c>
      <c r="P573">
        <v>0</v>
      </c>
      <c r="Q573">
        <v>0</v>
      </c>
      <c r="R573">
        <v>0</v>
      </c>
      <c r="S573">
        <v>0</v>
      </c>
    </row>
    <row r="574" spans="4:19" x14ac:dyDescent="0.3">
      <c r="D574">
        <v>6254136</v>
      </c>
      <c r="F574">
        <f t="shared" si="8"/>
        <v>7</v>
      </c>
      <c r="N574">
        <v>7</v>
      </c>
      <c r="O574">
        <v>0</v>
      </c>
      <c r="P574">
        <v>0</v>
      </c>
      <c r="Q574">
        <v>0</v>
      </c>
      <c r="R574">
        <v>0</v>
      </c>
      <c r="S574">
        <v>0</v>
      </c>
    </row>
    <row r="575" spans="4:19" x14ac:dyDescent="0.3">
      <c r="D575">
        <v>6255002</v>
      </c>
      <c r="F575">
        <f t="shared" si="8"/>
        <v>66</v>
      </c>
      <c r="N575">
        <v>66</v>
      </c>
      <c r="O575">
        <v>0</v>
      </c>
      <c r="P575">
        <v>0</v>
      </c>
      <c r="Q575">
        <v>0</v>
      </c>
      <c r="R575">
        <v>0</v>
      </c>
      <c r="S575">
        <v>0</v>
      </c>
    </row>
    <row r="576" spans="4:19" x14ac:dyDescent="0.3">
      <c r="D576">
        <v>6255003</v>
      </c>
      <c r="F576">
        <f t="shared" si="8"/>
        <v>16</v>
      </c>
      <c r="N576">
        <v>16</v>
      </c>
      <c r="O576">
        <v>0</v>
      </c>
      <c r="P576">
        <v>0</v>
      </c>
      <c r="Q576">
        <v>0</v>
      </c>
      <c r="R576">
        <v>0</v>
      </c>
      <c r="S576">
        <v>0</v>
      </c>
    </row>
    <row r="577" spans="4:19" x14ac:dyDescent="0.3">
      <c r="D577">
        <v>6255004</v>
      </c>
      <c r="F577">
        <f t="shared" si="8"/>
        <v>23</v>
      </c>
      <c r="N577">
        <v>23</v>
      </c>
      <c r="O577">
        <v>0</v>
      </c>
      <c r="P577">
        <v>0</v>
      </c>
      <c r="Q577">
        <v>0</v>
      </c>
      <c r="R577">
        <v>0</v>
      </c>
      <c r="S577">
        <v>0</v>
      </c>
    </row>
    <row r="578" spans="4:19" x14ac:dyDescent="0.3">
      <c r="D578">
        <v>6258649</v>
      </c>
      <c r="F578">
        <f t="shared" si="8"/>
        <v>40</v>
      </c>
      <c r="N578">
        <v>40</v>
      </c>
      <c r="O578">
        <v>0</v>
      </c>
      <c r="P578">
        <v>0</v>
      </c>
      <c r="Q578">
        <v>0</v>
      </c>
      <c r="R578">
        <v>0</v>
      </c>
      <c r="S578">
        <v>0</v>
      </c>
    </row>
    <row r="579" spans="4:19" x14ac:dyDescent="0.3">
      <c r="D579">
        <v>6272043</v>
      </c>
      <c r="F579">
        <f t="shared" ref="F579:F642" si="9">SUMIF(N579:S579,"&gt;=0")</f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</row>
    <row r="580" spans="4:19" x14ac:dyDescent="0.3">
      <c r="D580">
        <v>6272058</v>
      </c>
      <c r="F580">
        <f t="shared" si="9"/>
        <v>109</v>
      </c>
      <c r="N580">
        <v>109</v>
      </c>
      <c r="O580">
        <v>0</v>
      </c>
      <c r="P580">
        <v>0</v>
      </c>
      <c r="Q580">
        <v>0</v>
      </c>
      <c r="R580">
        <v>0</v>
      </c>
      <c r="S580">
        <v>0</v>
      </c>
    </row>
    <row r="581" spans="4:19" x14ac:dyDescent="0.3">
      <c r="D581">
        <v>6272068</v>
      </c>
      <c r="F581">
        <f t="shared" si="9"/>
        <v>103</v>
      </c>
      <c r="N581">
        <v>3</v>
      </c>
      <c r="O581">
        <v>100</v>
      </c>
      <c r="P581">
        <v>0</v>
      </c>
      <c r="Q581">
        <v>0</v>
      </c>
      <c r="R581">
        <v>0</v>
      </c>
      <c r="S581">
        <v>0</v>
      </c>
    </row>
    <row r="582" spans="4:19" x14ac:dyDescent="0.3">
      <c r="D582">
        <v>6272083</v>
      </c>
      <c r="F582">
        <f t="shared" si="9"/>
        <v>68</v>
      </c>
      <c r="N582">
        <v>68</v>
      </c>
      <c r="O582">
        <v>0</v>
      </c>
      <c r="P582">
        <v>0</v>
      </c>
      <c r="Q582">
        <v>0</v>
      </c>
      <c r="R582">
        <v>0</v>
      </c>
      <c r="S582">
        <v>0</v>
      </c>
    </row>
    <row r="583" spans="4:19" x14ac:dyDescent="0.3">
      <c r="D583">
        <v>6278321</v>
      </c>
      <c r="F583">
        <f t="shared" si="9"/>
        <v>27</v>
      </c>
      <c r="N583">
        <v>27</v>
      </c>
      <c r="O583">
        <v>0</v>
      </c>
      <c r="P583">
        <v>0</v>
      </c>
      <c r="Q583">
        <v>0</v>
      </c>
      <c r="R583">
        <v>0</v>
      </c>
      <c r="S583">
        <v>0</v>
      </c>
    </row>
    <row r="584" spans="4:19" x14ac:dyDescent="0.3">
      <c r="D584">
        <v>6281171</v>
      </c>
      <c r="F584">
        <f t="shared" si="9"/>
        <v>10</v>
      </c>
      <c r="N584">
        <v>8</v>
      </c>
      <c r="O584">
        <v>2</v>
      </c>
      <c r="P584">
        <v>0</v>
      </c>
      <c r="Q584">
        <v>0</v>
      </c>
      <c r="R584">
        <v>0</v>
      </c>
      <c r="S584">
        <v>0</v>
      </c>
    </row>
    <row r="585" spans="4:19" x14ac:dyDescent="0.3">
      <c r="D585">
        <v>6282638</v>
      </c>
      <c r="F585">
        <f t="shared" si="9"/>
        <v>7</v>
      </c>
      <c r="N585">
        <v>7</v>
      </c>
      <c r="O585">
        <v>0</v>
      </c>
      <c r="P585">
        <v>0</v>
      </c>
      <c r="Q585">
        <v>0</v>
      </c>
      <c r="R585">
        <v>0</v>
      </c>
      <c r="S585">
        <v>0</v>
      </c>
    </row>
    <row r="586" spans="4:19" x14ac:dyDescent="0.3">
      <c r="D586">
        <v>6282886</v>
      </c>
      <c r="F586">
        <f t="shared" si="9"/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</row>
    <row r="587" spans="4:19" x14ac:dyDescent="0.3">
      <c r="D587">
        <v>6283346</v>
      </c>
      <c r="F587">
        <f t="shared" si="9"/>
        <v>12</v>
      </c>
      <c r="N587">
        <v>12</v>
      </c>
      <c r="O587">
        <v>0</v>
      </c>
      <c r="P587">
        <v>0</v>
      </c>
      <c r="Q587">
        <v>0</v>
      </c>
      <c r="R587">
        <v>0</v>
      </c>
      <c r="S587">
        <v>0</v>
      </c>
    </row>
    <row r="588" spans="4:19" x14ac:dyDescent="0.3">
      <c r="D588">
        <v>6283364</v>
      </c>
      <c r="F588">
        <f t="shared" si="9"/>
        <v>27</v>
      </c>
      <c r="N588">
        <v>27</v>
      </c>
      <c r="O588">
        <v>0</v>
      </c>
      <c r="P588">
        <v>0</v>
      </c>
      <c r="Q588">
        <v>0</v>
      </c>
      <c r="R588">
        <v>0</v>
      </c>
      <c r="S588">
        <v>0</v>
      </c>
    </row>
    <row r="589" spans="4:19" x14ac:dyDescent="0.3">
      <c r="D589">
        <v>6283672</v>
      </c>
      <c r="F589">
        <f t="shared" si="9"/>
        <v>41</v>
      </c>
      <c r="N589">
        <v>41</v>
      </c>
      <c r="O589">
        <v>0</v>
      </c>
      <c r="P589">
        <v>0</v>
      </c>
      <c r="Q589">
        <v>0</v>
      </c>
      <c r="R589">
        <v>0</v>
      </c>
      <c r="S589">
        <v>0</v>
      </c>
    </row>
    <row r="590" spans="4:19" x14ac:dyDescent="0.3">
      <c r="D590">
        <v>6284311</v>
      </c>
      <c r="F590">
        <f t="shared" si="9"/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</row>
    <row r="591" spans="4:19" x14ac:dyDescent="0.3">
      <c r="D591">
        <v>6284312</v>
      </c>
      <c r="F591">
        <f t="shared" si="9"/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</row>
    <row r="592" spans="4:19" x14ac:dyDescent="0.3">
      <c r="D592">
        <v>6284340</v>
      </c>
      <c r="F592">
        <f t="shared" si="9"/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</row>
    <row r="593" spans="4:19" x14ac:dyDescent="0.3">
      <c r="D593">
        <v>6288633</v>
      </c>
      <c r="F593">
        <f t="shared" si="9"/>
        <v>13</v>
      </c>
      <c r="N593">
        <v>13</v>
      </c>
      <c r="O593">
        <v>0</v>
      </c>
      <c r="P593">
        <v>0</v>
      </c>
      <c r="Q593">
        <v>0</v>
      </c>
      <c r="R593">
        <v>0</v>
      </c>
      <c r="S593">
        <v>0</v>
      </c>
    </row>
    <row r="594" spans="4:19" x14ac:dyDescent="0.3">
      <c r="D594">
        <v>6288641</v>
      </c>
      <c r="F594">
        <f t="shared" si="9"/>
        <v>58</v>
      </c>
      <c r="N594">
        <v>4</v>
      </c>
      <c r="O594">
        <v>54</v>
      </c>
      <c r="P594">
        <v>0</v>
      </c>
      <c r="Q594">
        <v>0</v>
      </c>
      <c r="R594">
        <v>0</v>
      </c>
      <c r="S594">
        <v>0</v>
      </c>
    </row>
    <row r="595" spans="4:19" x14ac:dyDescent="0.3">
      <c r="D595">
        <v>6288736</v>
      </c>
      <c r="F595">
        <f t="shared" si="9"/>
        <v>20</v>
      </c>
      <c r="N595">
        <v>20</v>
      </c>
      <c r="O595">
        <v>0</v>
      </c>
      <c r="P595">
        <v>0</v>
      </c>
      <c r="Q595">
        <v>0</v>
      </c>
      <c r="R595">
        <v>0</v>
      </c>
      <c r="S595">
        <v>0</v>
      </c>
    </row>
    <row r="596" spans="4:19" x14ac:dyDescent="0.3">
      <c r="D596">
        <v>6288786</v>
      </c>
      <c r="F596">
        <f t="shared" si="9"/>
        <v>10</v>
      </c>
      <c r="N596">
        <v>10</v>
      </c>
      <c r="O596">
        <v>0</v>
      </c>
      <c r="P596">
        <v>0</v>
      </c>
      <c r="Q596">
        <v>0</v>
      </c>
      <c r="R596">
        <v>0</v>
      </c>
      <c r="S596">
        <v>0</v>
      </c>
    </row>
    <row r="597" spans="4:19" x14ac:dyDescent="0.3">
      <c r="D597">
        <v>6288788</v>
      </c>
      <c r="F597">
        <f t="shared" si="9"/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</row>
    <row r="598" spans="4:19" x14ac:dyDescent="0.3">
      <c r="D598">
        <v>6288807</v>
      </c>
      <c r="F598">
        <f t="shared" si="9"/>
        <v>52</v>
      </c>
      <c r="N598">
        <v>52</v>
      </c>
      <c r="O598">
        <v>0</v>
      </c>
      <c r="P598">
        <v>0</v>
      </c>
      <c r="Q598">
        <v>0</v>
      </c>
      <c r="R598">
        <v>0</v>
      </c>
      <c r="S598">
        <v>0</v>
      </c>
    </row>
    <row r="599" spans="4:19" x14ac:dyDescent="0.3">
      <c r="D599">
        <v>6402550</v>
      </c>
      <c r="F599">
        <f t="shared" si="9"/>
        <v>36</v>
      </c>
      <c r="N599">
        <v>36</v>
      </c>
      <c r="O599">
        <v>0</v>
      </c>
      <c r="P599">
        <v>0</v>
      </c>
      <c r="Q599">
        <v>0</v>
      </c>
      <c r="R599">
        <v>0</v>
      </c>
      <c r="S599">
        <v>0</v>
      </c>
    </row>
    <row r="600" spans="4:19" x14ac:dyDescent="0.3">
      <c r="D600">
        <v>6402750</v>
      </c>
      <c r="F600">
        <f t="shared" si="9"/>
        <v>8</v>
      </c>
      <c r="N600">
        <v>8</v>
      </c>
      <c r="O600">
        <v>0</v>
      </c>
      <c r="P600">
        <v>0</v>
      </c>
      <c r="Q600">
        <v>0</v>
      </c>
      <c r="R600">
        <v>0</v>
      </c>
      <c r="S600">
        <v>0</v>
      </c>
    </row>
    <row r="601" spans="4:19" x14ac:dyDescent="0.3">
      <c r="D601">
        <v>6402759</v>
      </c>
      <c r="F601">
        <f t="shared" si="9"/>
        <v>8</v>
      </c>
      <c r="N601">
        <v>8</v>
      </c>
      <c r="O601">
        <v>0</v>
      </c>
      <c r="P601">
        <v>0</v>
      </c>
      <c r="Q601">
        <v>0</v>
      </c>
      <c r="R601">
        <v>0</v>
      </c>
      <c r="S601">
        <v>0</v>
      </c>
    </row>
    <row r="602" spans="4:19" x14ac:dyDescent="0.3">
      <c r="D602">
        <v>6404024</v>
      </c>
      <c r="F602">
        <f t="shared" si="9"/>
        <v>8</v>
      </c>
      <c r="N602">
        <v>8</v>
      </c>
      <c r="O602">
        <v>0</v>
      </c>
      <c r="P602">
        <v>0</v>
      </c>
      <c r="Q602">
        <v>0</v>
      </c>
      <c r="R602">
        <v>0</v>
      </c>
      <c r="S602">
        <v>0</v>
      </c>
    </row>
    <row r="603" spans="4:19" x14ac:dyDescent="0.3">
      <c r="D603">
        <v>6404049</v>
      </c>
      <c r="F603">
        <f t="shared" si="9"/>
        <v>3</v>
      </c>
      <c r="N603">
        <v>3</v>
      </c>
      <c r="O603">
        <v>0</v>
      </c>
      <c r="P603">
        <v>0</v>
      </c>
      <c r="Q603">
        <v>0</v>
      </c>
      <c r="R603">
        <v>0</v>
      </c>
      <c r="S603">
        <v>0</v>
      </c>
    </row>
    <row r="604" spans="4:19" x14ac:dyDescent="0.3">
      <c r="D604">
        <v>6405007</v>
      </c>
      <c r="F604">
        <f t="shared" si="9"/>
        <v>55</v>
      </c>
      <c r="N604">
        <v>55</v>
      </c>
      <c r="O604">
        <v>0</v>
      </c>
      <c r="P604">
        <v>0</v>
      </c>
      <c r="Q604">
        <v>0</v>
      </c>
      <c r="R604">
        <v>0</v>
      </c>
      <c r="S604">
        <v>0</v>
      </c>
    </row>
    <row r="605" spans="4:19" x14ac:dyDescent="0.3">
      <c r="D605">
        <v>6405012</v>
      </c>
      <c r="F605">
        <f t="shared" si="9"/>
        <v>26</v>
      </c>
      <c r="N605">
        <v>26</v>
      </c>
      <c r="O605">
        <v>0</v>
      </c>
      <c r="P605">
        <v>0</v>
      </c>
      <c r="Q605">
        <v>0</v>
      </c>
      <c r="R605">
        <v>0</v>
      </c>
      <c r="S605">
        <v>0</v>
      </c>
    </row>
    <row r="606" spans="4:19" x14ac:dyDescent="0.3">
      <c r="D606">
        <v>6405013</v>
      </c>
      <c r="F606">
        <f t="shared" si="9"/>
        <v>9</v>
      </c>
      <c r="N606">
        <v>9</v>
      </c>
      <c r="O606">
        <v>0</v>
      </c>
      <c r="P606">
        <v>0</v>
      </c>
      <c r="Q606">
        <v>0</v>
      </c>
      <c r="R606">
        <v>0</v>
      </c>
      <c r="S606">
        <v>0</v>
      </c>
    </row>
    <row r="607" spans="4:19" x14ac:dyDescent="0.3">
      <c r="D607">
        <v>6452187</v>
      </c>
      <c r="F607">
        <f t="shared" si="9"/>
        <v>41</v>
      </c>
      <c r="N607">
        <v>41</v>
      </c>
      <c r="O607">
        <v>0</v>
      </c>
      <c r="P607">
        <v>0</v>
      </c>
      <c r="Q607">
        <v>0</v>
      </c>
      <c r="R607">
        <v>0</v>
      </c>
      <c r="S607">
        <v>0</v>
      </c>
    </row>
    <row r="608" spans="4:19" x14ac:dyDescent="0.3">
      <c r="D608">
        <v>6452196</v>
      </c>
      <c r="F608">
        <f t="shared" si="9"/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</row>
    <row r="609" spans="4:19" x14ac:dyDescent="0.3">
      <c r="D609">
        <v>6452209</v>
      </c>
      <c r="F609">
        <f t="shared" si="9"/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</row>
    <row r="610" spans="4:19" x14ac:dyDescent="0.3">
      <c r="D610">
        <v>6501254</v>
      </c>
      <c r="F610">
        <f t="shared" si="9"/>
        <v>205</v>
      </c>
      <c r="N610">
        <v>205</v>
      </c>
      <c r="O610">
        <v>0</v>
      </c>
      <c r="P610">
        <v>0</v>
      </c>
      <c r="Q610">
        <v>0</v>
      </c>
      <c r="R610">
        <v>0</v>
      </c>
      <c r="S610">
        <v>0</v>
      </c>
    </row>
    <row r="611" spans="4:19" x14ac:dyDescent="0.3">
      <c r="D611">
        <v>6501257</v>
      </c>
      <c r="F611">
        <f t="shared" si="9"/>
        <v>5</v>
      </c>
      <c r="N611">
        <v>5</v>
      </c>
      <c r="O611">
        <v>0</v>
      </c>
      <c r="P611">
        <v>0</v>
      </c>
      <c r="Q611">
        <v>0</v>
      </c>
      <c r="R611">
        <v>0</v>
      </c>
      <c r="S611">
        <v>0</v>
      </c>
    </row>
    <row r="612" spans="4:19" x14ac:dyDescent="0.3">
      <c r="D612">
        <v>6502360</v>
      </c>
      <c r="F612">
        <f t="shared" si="9"/>
        <v>80</v>
      </c>
      <c r="N612">
        <v>80</v>
      </c>
      <c r="O612">
        <v>0</v>
      </c>
      <c r="P612">
        <v>0</v>
      </c>
      <c r="Q612">
        <v>0</v>
      </c>
      <c r="R612">
        <v>0</v>
      </c>
      <c r="S612">
        <v>0</v>
      </c>
    </row>
    <row r="613" spans="4:19" x14ac:dyDescent="0.3">
      <c r="D613">
        <v>6502365</v>
      </c>
      <c r="F613">
        <f t="shared" si="9"/>
        <v>93</v>
      </c>
      <c r="N613">
        <v>93</v>
      </c>
      <c r="O613">
        <v>0</v>
      </c>
      <c r="P613">
        <v>0</v>
      </c>
      <c r="Q613">
        <v>0</v>
      </c>
      <c r="R613">
        <v>0</v>
      </c>
      <c r="S613">
        <v>0</v>
      </c>
    </row>
    <row r="614" spans="4:19" x14ac:dyDescent="0.3">
      <c r="D614">
        <v>6502566</v>
      </c>
      <c r="F614">
        <f t="shared" si="9"/>
        <v>215</v>
      </c>
      <c r="N614">
        <v>215</v>
      </c>
      <c r="O614">
        <v>0</v>
      </c>
      <c r="P614">
        <v>0</v>
      </c>
      <c r="Q614">
        <v>0</v>
      </c>
      <c r="R614">
        <v>0</v>
      </c>
      <c r="S614">
        <v>0</v>
      </c>
    </row>
    <row r="615" spans="4:19" x14ac:dyDescent="0.3">
      <c r="D615">
        <v>6502595</v>
      </c>
      <c r="F615">
        <f t="shared" si="9"/>
        <v>8</v>
      </c>
      <c r="N615">
        <v>8</v>
      </c>
      <c r="O615">
        <v>0</v>
      </c>
      <c r="P615">
        <v>0</v>
      </c>
      <c r="Q615">
        <v>0</v>
      </c>
      <c r="R615">
        <v>0</v>
      </c>
      <c r="S615">
        <v>0</v>
      </c>
    </row>
    <row r="616" spans="4:19" x14ac:dyDescent="0.3">
      <c r="D616">
        <v>6502652</v>
      </c>
      <c r="F616">
        <f t="shared" si="9"/>
        <v>1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0</v>
      </c>
    </row>
    <row r="617" spans="4:19" x14ac:dyDescent="0.3">
      <c r="D617">
        <v>6502853</v>
      </c>
      <c r="F617">
        <f t="shared" si="9"/>
        <v>87</v>
      </c>
      <c r="N617">
        <v>87</v>
      </c>
      <c r="O617">
        <v>0</v>
      </c>
      <c r="P617">
        <v>0</v>
      </c>
      <c r="Q617">
        <v>0</v>
      </c>
      <c r="R617">
        <v>0</v>
      </c>
      <c r="S617">
        <v>0</v>
      </c>
    </row>
    <row r="618" spans="4:19" x14ac:dyDescent="0.3">
      <c r="D618">
        <v>6502912</v>
      </c>
      <c r="F618">
        <f t="shared" si="9"/>
        <v>2</v>
      </c>
      <c r="N618">
        <v>2</v>
      </c>
      <c r="O618">
        <v>0</v>
      </c>
      <c r="P618">
        <v>0</v>
      </c>
      <c r="Q618">
        <v>0</v>
      </c>
      <c r="R618">
        <v>0</v>
      </c>
      <c r="S618">
        <v>0</v>
      </c>
    </row>
    <row r="619" spans="4:19" x14ac:dyDescent="0.3">
      <c r="D619">
        <v>6503585</v>
      </c>
      <c r="F619">
        <f t="shared" si="9"/>
        <v>5</v>
      </c>
      <c r="N619">
        <v>5</v>
      </c>
      <c r="O619">
        <v>0</v>
      </c>
      <c r="P619">
        <v>0</v>
      </c>
      <c r="Q619">
        <v>0</v>
      </c>
      <c r="R619">
        <v>0</v>
      </c>
      <c r="S619">
        <v>0</v>
      </c>
    </row>
    <row r="620" spans="4:19" x14ac:dyDescent="0.3">
      <c r="D620">
        <v>6503652</v>
      </c>
      <c r="F620">
        <f t="shared" si="9"/>
        <v>3</v>
      </c>
      <c r="N620">
        <v>3</v>
      </c>
      <c r="O620">
        <v>0</v>
      </c>
      <c r="P620">
        <v>0</v>
      </c>
      <c r="Q620">
        <v>0</v>
      </c>
      <c r="R620">
        <v>0</v>
      </c>
      <c r="S620">
        <v>0</v>
      </c>
    </row>
    <row r="621" spans="4:19" x14ac:dyDescent="0.3">
      <c r="D621">
        <v>6503714</v>
      </c>
      <c r="F621">
        <f t="shared" si="9"/>
        <v>14</v>
      </c>
      <c r="N621">
        <v>14</v>
      </c>
      <c r="O621">
        <v>0</v>
      </c>
      <c r="P621">
        <v>0</v>
      </c>
      <c r="Q621">
        <v>0</v>
      </c>
      <c r="R621">
        <v>0</v>
      </c>
      <c r="S621">
        <v>0</v>
      </c>
    </row>
    <row r="622" spans="4:19" x14ac:dyDescent="0.3">
      <c r="D622">
        <v>6503715</v>
      </c>
      <c r="F622">
        <f t="shared" si="9"/>
        <v>1</v>
      </c>
      <c r="N622">
        <v>1</v>
      </c>
      <c r="O622">
        <v>0</v>
      </c>
      <c r="P622">
        <v>0</v>
      </c>
      <c r="Q622">
        <v>0</v>
      </c>
      <c r="R622">
        <v>0</v>
      </c>
      <c r="S622">
        <v>0</v>
      </c>
    </row>
    <row r="623" spans="4:19" x14ac:dyDescent="0.3">
      <c r="D623">
        <v>6503716</v>
      </c>
      <c r="F623">
        <f t="shared" si="9"/>
        <v>18</v>
      </c>
      <c r="N623">
        <v>18</v>
      </c>
      <c r="O623">
        <v>0</v>
      </c>
      <c r="P623">
        <v>0</v>
      </c>
      <c r="Q623">
        <v>0</v>
      </c>
      <c r="R623">
        <v>0</v>
      </c>
      <c r="S623">
        <v>0</v>
      </c>
    </row>
    <row r="624" spans="4:19" x14ac:dyDescent="0.3">
      <c r="D624">
        <v>6503720</v>
      </c>
      <c r="F624">
        <f t="shared" si="9"/>
        <v>1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</row>
    <row r="625" spans="4:19" x14ac:dyDescent="0.3">
      <c r="D625">
        <v>6503729</v>
      </c>
      <c r="F625">
        <f t="shared" si="9"/>
        <v>19</v>
      </c>
      <c r="N625">
        <v>19</v>
      </c>
      <c r="O625">
        <v>0</v>
      </c>
      <c r="P625">
        <v>0</v>
      </c>
      <c r="Q625">
        <v>0</v>
      </c>
      <c r="R625">
        <v>0</v>
      </c>
      <c r="S625">
        <v>0</v>
      </c>
    </row>
    <row r="626" spans="4:19" x14ac:dyDescent="0.3">
      <c r="D626">
        <v>6503739</v>
      </c>
      <c r="F626">
        <f t="shared" si="9"/>
        <v>4</v>
      </c>
      <c r="N626">
        <v>4</v>
      </c>
      <c r="O626">
        <v>0</v>
      </c>
      <c r="P626">
        <v>0</v>
      </c>
      <c r="Q626">
        <v>0</v>
      </c>
      <c r="R626">
        <v>0</v>
      </c>
      <c r="S626">
        <v>0</v>
      </c>
    </row>
    <row r="627" spans="4:19" x14ac:dyDescent="0.3">
      <c r="D627">
        <v>6503740</v>
      </c>
      <c r="F627">
        <f t="shared" si="9"/>
        <v>15</v>
      </c>
      <c r="N627">
        <v>15</v>
      </c>
      <c r="O627">
        <v>0</v>
      </c>
      <c r="P627">
        <v>0</v>
      </c>
      <c r="Q627">
        <v>0</v>
      </c>
      <c r="R627">
        <v>0</v>
      </c>
      <c r="S627">
        <v>0</v>
      </c>
    </row>
    <row r="628" spans="4:19" x14ac:dyDescent="0.3">
      <c r="D628">
        <v>6503741</v>
      </c>
      <c r="F628">
        <f t="shared" si="9"/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</row>
    <row r="629" spans="4:19" x14ac:dyDescent="0.3">
      <c r="D629">
        <v>6503835</v>
      </c>
      <c r="F629">
        <f t="shared" si="9"/>
        <v>6</v>
      </c>
      <c r="N629">
        <v>6</v>
      </c>
      <c r="O629">
        <v>0</v>
      </c>
      <c r="P629">
        <v>0</v>
      </c>
      <c r="Q629">
        <v>0</v>
      </c>
      <c r="R629">
        <v>0</v>
      </c>
      <c r="S629">
        <v>0</v>
      </c>
    </row>
    <row r="630" spans="4:19" x14ac:dyDescent="0.3">
      <c r="D630">
        <v>6503836</v>
      </c>
      <c r="F630">
        <f t="shared" si="9"/>
        <v>12</v>
      </c>
      <c r="N630">
        <v>12</v>
      </c>
      <c r="O630">
        <v>0</v>
      </c>
      <c r="P630">
        <v>0</v>
      </c>
      <c r="Q630">
        <v>0</v>
      </c>
      <c r="R630">
        <v>0</v>
      </c>
      <c r="S630">
        <v>0</v>
      </c>
    </row>
    <row r="631" spans="4:19" x14ac:dyDescent="0.3">
      <c r="D631">
        <v>6503837</v>
      </c>
      <c r="F631">
        <f t="shared" si="9"/>
        <v>23</v>
      </c>
      <c r="N631">
        <v>23</v>
      </c>
      <c r="O631">
        <v>0</v>
      </c>
      <c r="P631">
        <v>0</v>
      </c>
      <c r="Q631">
        <v>0</v>
      </c>
      <c r="R631">
        <v>0</v>
      </c>
      <c r="S631">
        <v>0</v>
      </c>
    </row>
    <row r="632" spans="4:19" x14ac:dyDescent="0.3">
      <c r="D632">
        <v>6503838</v>
      </c>
      <c r="F632">
        <f t="shared" si="9"/>
        <v>13</v>
      </c>
      <c r="N632">
        <v>13</v>
      </c>
      <c r="O632">
        <v>0</v>
      </c>
      <c r="P632">
        <v>0</v>
      </c>
      <c r="Q632">
        <v>0</v>
      </c>
      <c r="R632">
        <v>0</v>
      </c>
      <c r="S632">
        <v>0</v>
      </c>
    </row>
    <row r="633" spans="4:19" x14ac:dyDescent="0.3">
      <c r="D633">
        <v>6504114</v>
      </c>
      <c r="F633">
        <f t="shared" si="9"/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</row>
    <row r="634" spans="4:19" x14ac:dyDescent="0.3">
      <c r="D634">
        <v>6504438</v>
      </c>
      <c r="F634">
        <f t="shared" si="9"/>
        <v>48</v>
      </c>
      <c r="N634">
        <v>48</v>
      </c>
      <c r="O634">
        <v>0</v>
      </c>
      <c r="P634">
        <v>0</v>
      </c>
      <c r="Q634">
        <v>0</v>
      </c>
      <c r="R634">
        <v>0</v>
      </c>
      <c r="S634">
        <v>0</v>
      </c>
    </row>
    <row r="635" spans="4:19" x14ac:dyDescent="0.3">
      <c r="D635">
        <v>6504590</v>
      </c>
      <c r="F635">
        <f t="shared" si="9"/>
        <v>60</v>
      </c>
      <c r="N635">
        <v>60</v>
      </c>
      <c r="O635">
        <v>0</v>
      </c>
      <c r="P635">
        <v>0</v>
      </c>
      <c r="Q635">
        <v>0</v>
      </c>
      <c r="R635">
        <v>0</v>
      </c>
      <c r="S635">
        <v>0</v>
      </c>
    </row>
    <row r="636" spans="4:19" x14ac:dyDescent="0.3">
      <c r="D636">
        <v>6504684</v>
      </c>
      <c r="F636">
        <f t="shared" si="9"/>
        <v>1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0</v>
      </c>
    </row>
    <row r="637" spans="4:19" x14ac:dyDescent="0.3">
      <c r="D637">
        <v>6504843</v>
      </c>
      <c r="F637">
        <f t="shared" si="9"/>
        <v>2</v>
      </c>
      <c r="N637">
        <v>2</v>
      </c>
      <c r="O637">
        <v>0</v>
      </c>
      <c r="P637">
        <v>0</v>
      </c>
      <c r="Q637">
        <v>0</v>
      </c>
      <c r="R637">
        <v>0</v>
      </c>
      <c r="S637">
        <v>0</v>
      </c>
    </row>
    <row r="638" spans="4:19" x14ac:dyDescent="0.3">
      <c r="D638">
        <v>6504846</v>
      </c>
      <c r="F638">
        <f t="shared" si="9"/>
        <v>1</v>
      </c>
      <c r="N638">
        <v>1</v>
      </c>
      <c r="O638">
        <v>0</v>
      </c>
      <c r="P638">
        <v>0</v>
      </c>
      <c r="Q638">
        <v>0</v>
      </c>
      <c r="R638">
        <v>0</v>
      </c>
      <c r="S638">
        <v>0</v>
      </c>
    </row>
    <row r="639" spans="4:19" x14ac:dyDescent="0.3">
      <c r="D639">
        <v>6504847</v>
      </c>
      <c r="F639">
        <f t="shared" si="9"/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</row>
    <row r="640" spans="4:19" x14ac:dyDescent="0.3">
      <c r="D640">
        <v>6504858</v>
      </c>
      <c r="F640">
        <f t="shared" si="9"/>
        <v>16</v>
      </c>
      <c r="N640">
        <v>16</v>
      </c>
      <c r="O640">
        <v>0</v>
      </c>
      <c r="P640">
        <v>0</v>
      </c>
      <c r="Q640">
        <v>0</v>
      </c>
      <c r="R640">
        <v>0</v>
      </c>
      <c r="S640">
        <v>0</v>
      </c>
    </row>
    <row r="641" spans="4:19" x14ac:dyDescent="0.3">
      <c r="D641">
        <v>6504980</v>
      </c>
      <c r="F641">
        <f t="shared" si="9"/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</row>
    <row r="642" spans="4:19" x14ac:dyDescent="0.3">
      <c r="D642">
        <v>6505710</v>
      </c>
      <c r="F642">
        <f t="shared" si="9"/>
        <v>25</v>
      </c>
      <c r="N642">
        <v>25</v>
      </c>
      <c r="O642">
        <v>0</v>
      </c>
      <c r="P642">
        <v>0</v>
      </c>
      <c r="Q642">
        <v>0</v>
      </c>
      <c r="R642">
        <v>0</v>
      </c>
      <c r="S642">
        <v>0</v>
      </c>
    </row>
    <row r="643" spans="4:19" x14ac:dyDescent="0.3">
      <c r="D643">
        <v>6505799</v>
      </c>
      <c r="F643">
        <f t="shared" ref="F643:F706" si="10">SUMIF(N643:S643,"&gt;=0")</f>
        <v>2</v>
      </c>
      <c r="N643">
        <v>2</v>
      </c>
      <c r="O643">
        <v>0</v>
      </c>
      <c r="P643">
        <v>0</v>
      </c>
      <c r="Q643">
        <v>0</v>
      </c>
      <c r="R643">
        <v>0</v>
      </c>
      <c r="S643">
        <v>0</v>
      </c>
    </row>
    <row r="644" spans="4:19" x14ac:dyDescent="0.3">
      <c r="D644">
        <v>6505800</v>
      </c>
      <c r="F644">
        <f t="shared" si="10"/>
        <v>17</v>
      </c>
      <c r="N644">
        <v>17</v>
      </c>
      <c r="O644">
        <v>0</v>
      </c>
      <c r="P644">
        <v>0</v>
      </c>
      <c r="Q644">
        <v>0</v>
      </c>
      <c r="R644">
        <v>0</v>
      </c>
      <c r="S644">
        <v>0</v>
      </c>
    </row>
    <row r="645" spans="4:19" x14ac:dyDescent="0.3">
      <c r="D645">
        <v>6505805</v>
      </c>
      <c r="F645">
        <f t="shared" si="10"/>
        <v>1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</row>
    <row r="646" spans="4:19" x14ac:dyDescent="0.3">
      <c r="D646">
        <v>6505806</v>
      </c>
      <c r="F646">
        <f t="shared" si="10"/>
        <v>19</v>
      </c>
      <c r="N646">
        <v>19</v>
      </c>
      <c r="O646">
        <v>0</v>
      </c>
      <c r="P646">
        <v>0</v>
      </c>
      <c r="Q646">
        <v>0</v>
      </c>
      <c r="R646">
        <v>0</v>
      </c>
      <c r="S646">
        <v>0</v>
      </c>
    </row>
    <row r="647" spans="4:19" x14ac:dyDescent="0.3">
      <c r="D647">
        <v>6505809</v>
      </c>
      <c r="F647">
        <f t="shared" si="10"/>
        <v>61</v>
      </c>
      <c r="N647">
        <v>61</v>
      </c>
      <c r="O647">
        <v>0</v>
      </c>
      <c r="P647">
        <v>0</v>
      </c>
      <c r="Q647">
        <v>0</v>
      </c>
      <c r="R647">
        <v>0</v>
      </c>
      <c r="S647">
        <v>0</v>
      </c>
    </row>
    <row r="648" spans="4:19" x14ac:dyDescent="0.3">
      <c r="D648">
        <v>6505948</v>
      </c>
      <c r="F648">
        <f t="shared" si="10"/>
        <v>10</v>
      </c>
      <c r="N648">
        <v>10</v>
      </c>
      <c r="O648">
        <v>0</v>
      </c>
      <c r="P648">
        <v>0</v>
      </c>
      <c r="Q648">
        <v>0</v>
      </c>
      <c r="R648">
        <v>0</v>
      </c>
      <c r="S648">
        <v>0</v>
      </c>
    </row>
    <row r="649" spans="4:19" x14ac:dyDescent="0.3">
      <c r="D649">
        <v>6505977</v>
      </c>
      <c r="F649">
        <f t="shared" si="10"/>
        <v>35</v>
      </c>
      <c r="N649">
        <v>35</v>
      </c>
      <c r="O649">
        <v>0</v>
      </c>
      <c r="P649">
        <v>0</v>
      </c>
      <c r="Q649">
        <v>0</v>
      </c>
      <c r="R649">
        <v>0</v>
      </c>
      <c r="S649">
        <v>0</v>
      </c>
    </row>
    <row r="650" spans="4:19" x14ac:dyDescent="0.3">
      <c r="D650">
        <v>6508460</v>
      </c>
      <c r="F650">
        <f t="shared" si="10"/>
        <v>17</v>
      </c>
      <c r="N650">
        <v>17</v>
      </c>
      <c r="O650">
        <v>0</v>
      </c>
      <c r="P650">
        <v>0</v>
      </c>
      <c r="Q650">
        <v>0</v>
      </c>
      <c r="R650">
        <v>0</v>
      </c>
      <c r="S650">
        <v>0</v>
      </c>
    </row>
    <row r="651" spans="4:19" x14ac:dyDescent="0.3">
      <c r="D651">
        <v>6508818</v>
      </c>
      <c r="F651">
        <f t="shared" si="10"/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</row>
    <row r="652" spans="4:19" x14ac:dyDescent="0.3">
      <c r="D652">
        <v>6509198</v>
      </c>
      <c r="F652">
        <f t="shared" si="10"/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</row>
    <row r="653" spans="4:19" x14ac:dyDescent="0.3">
      <c r="D653">
        <v>6509304</v>
      </c>
      <c r="F653">
        <f t="shared" si="10"/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</row>
    <row r="654" spans="4:19" x14ac:dyDescent="0.3">
      <c r="D654">
        <v>6542470</v>
      </c>
      <c r="F654">
        <f t="shared" si="10"/>
        <v>233</v>
      </c>
      <c r="N654">
        <v>233</v>
      </c>
      <c r="O654">
        <v>0</v>
      </c>
      <c r="P654">
        <v>0</v>
      </c>
      <c r="Q654">
        <v>0</v>
      </c>
      <c r="R654">
        <v>0</v>
      </c>
      <c r="S654">
        <v>0</v>
      </c>
    </row>
    <row r="655" spans="4:19" x14ac:dyDescent="0.3">
      <c r="D655">
        <v>6544088</v>
      </c>
      <c r="F655">
        <f t="shared" si="10"/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</row>
    <row r="656" spans="4:19" x14ac:dyDescent="0.3">
      <c r="D656">
        <v>6544091</v>
      </c>
      <c r="F656">
        <f t="shared" si="10"/>
        <v>1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</row>
    <row r="657" spans="4:19" x14ac:dyDescent="0.3">
      <c r="D657">
        <v>6600301</v>
      </c>
      <c r="F657">
        <f t="shared" si="10"/>
        <v>31</v>
      </c>
      <c r="N657">
        <v>31</v>
      </c>
      <c r="O657">
        <v>0</v>
      </c>
      <c r="P657">
        <v>0</v>
      </c>
      <c r="Q657">
        <v>0</v>
      </c>
      <c r="R657">
        <v>0</v>
      </c>
      <c r="S657">
        <v>0</v>
      </c>
    </row>
    <row r="658" spans="4:19" x14ac:dyDescent="0.3">
      <c r="D658">
        <v>6602190</v>
      </c>
      <c r="F658">
        <f t="shared" si="10"/>
        <v>14</v>
      </c>
      <c r="N658">
        <v>14</v>
      </c>
      <c r="O658">
        <v>0</v>
      </c>
      <c r="P658">
        <v>0</v>
      </c>
      <c r="Q658">
        <v>0</v>
      </c>
      <c r="R658">
        <v>0</v>
      </c>
      <c r="S658">
        <v>0</v>
      </c>
    </row>
    <row r="659" spans="4:19" x14ac:dyDescent="0.3">
      <c r="D659">
        <v>6602253</v>
      </c>
      <c r="F659">
        <f t="shared" si="10"/>
        <v>102</v>
      </c>
      <c r="N659">
        <v>102</v>
      </c>
      <c r="O659">
        <v>0</v>
      </c>
      <c r="P659">
        <v>0</v>
      </c>
      <c r="Q659">
        <v>0</v>
      </c>
      <c r="R659">
        <v>0</v>
      </c>
      <c r="S659">
        <v>0</v>
      </c>
    </row>
    <row r="660" spans="4:19" x14ac:dyDescent="0.3">
      <c r="D660">
        <v>6602268</v>
      </c>
      <c r="F660">
        <f t="shared" si="10"/>
        <v>69</v>
      </c>
      <c r="N660">
        <v>69</v>
      </c>
      <c r="O660">
        <v>0</v>
      </c>
      <c r="P660">
        <v>0</v>
      </c>
      <c r="Q660">
        <v>0</v>
      </c>
      <c r="R660">
        <v>0</v>
      </c>
      <c r="S660">
        <v>0</v>
      </c>
    </row>
    <row r="661" spans="4:19" x14ac:dyDescent="0.3">
      <c r="D661">
        <v>6602269</v>
      </c>
      <c r="F661">
        <f t="shared" si="10"/>
        <v>100</v>
      </c>
      <c r="N661">
        <v>100</v>
      </c>
      <c r="O661">
        <v>0</v>
      </c>
      <c r="P661">
        <v>0</v>
      </c>
      <c r="Q661">
        <v>0</v>
      </c>
      <c r="R661">
        <v>0</v>
      </c>
      <c r="S661">
        <v>0</v>
      </c>
    </row>
    <row r="662" spans="4:19" x14ac:dyDescent="0.3">
      <c r="D662">
        <v>6602397</v>
      </c>
      <c r="F662">
        <f t="shared" si="10"/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</row>
    <row r="663" spans="4:19" x14ac:dyDescent="0.3">
      <c r="D663">
        <v>6602558</v>
      </c>
      <c r="F663">
        <f t="shared" si="10"/>
        <v>5</v>
      </c>
      <c r="N663">
        <v>5</v>
      </c>
      <c r="O663">
        <v>0</v>
      </c>
      <c r="P663">
        <v>0</v>
      </c>
      <c r="Q663">
        <v>0</v>
      </c>
      <c r="R663">
        <v>0</v>
      </c>
      <c r="S663">
        <v>0</v>
      </c>
    </row>
    <row r="664" spans="4:19" x14ac:dyDescent="0.3">
      <c r="D664">
        <v>6603699</v>
      </c>
      <c r="F664">
        <f t="shared" si="10"/>
        <v>249</v>
      </c>
      <c r="N664">
        <v>249</v>
      </c>
      <c r="O664">
        <v>0</v>
      </c>
      <c r="P664">
        <v>0</v>
      </c>
      <c r="Q664">
        <v>0</v>
      </c>
      <c r="R664">
        <v>0</v>
      </c>
      <c r="S664">
        <v>0</v>
      </c>
    </row>
    <row r="665" spans="4:19" x14ac:dyDescent="0.3">
      <c r="D665">
        <v>6603955</v>
      </c>
      <c r="F665">
        <f t="shared" si="10"/>
        <v>13</v>
      </c>
      <c r="N665">
        <v>13</v>
      </c>
      <c r="O665">
        <v>0</v>
      </c>
      <c r="P665">
        <v>0</v>
      </c>
      <c r="Q665">
        <v>0</v>
      </c>
      <c r="R665">
        <v>0</v>
      </c>
      <c r="S665">
        <v>0</v>
      </c>
    </row>
    <row r="666" spans="4:19" x14ac:dyDescent="0.3">
      <c r="D666">
        <v>6604063</v>
      </c>
      <c r="F666">
        <f t="shared" si="10"/>
        <v>79</v>
      </c>
      <c r="N666">
        <v>79</v>
      </c>
      <c r="O666">
        <v>0</v>
      </c>
      <c r="P666">
        <v>0</v>
      </c>
      <c r="Q666">
        <v>0</v>
      </c>
      <c r="R666">
        <v>0</v>
      </c>
      <c r="S666">
        <v>0</v>
      </c>
    </row>
    <row r="667" spans="4:19" x14ac:dyDescent="0.3">
      <c r="D667">
        <v>6604185</v>
      </c>
      <c r="F667">
        <f t="shared" si="10"/>
        <v>89</v>
      </c>
      <c r="N667">
        <v>89</v>
      </c>
      <c r="O667">
        <v>0</v>
      </c>
      <c r="P667">
        <v>0</v>
      </c>
      <c r="Q667">
        <v>0</v>
      </c>
      <c r="R667">
        <v>0</v>
      </c>
      <c r="S667">
        <v>0</v>
      </c>
    </row>
    <row r="668" spans="4:19" x14ac:dyDescent="0.3">
      <c r="D668">
        <v>6604240</v>
      </c>
      <c r="F668">
        <f t="shared" si="10"/>
        <v>6</v>
      </c>
      <c r="N668">
        <v>6</v>
      </c>
      <c r="O668">
        <v>0</v>
      </c>
      <c r="P668">
        <v>0</v>
      </c>
      <c r="Q668">
        <v>0</v>
      </c>
      <c r="R668">
        <v>0</v>
      </c>
      <c r="S668">
        <v>0</v>
      </c>
    </row>
    <row r="669" spans="4:19" x14ac:dyDescent="0.3">
      <c r="D669">
        <v>6604241</v>
      </c>
      <c r="F669">
        <f t="shared" si="10"/>
        <v>2</v>
      </c>
      <c r="N669">
        <v>2</v>
      </c>
      <c r="O669">
        <v>0</v>
      </c>
      <c r="P669">
        <v>0</v>
      </c>
      <c r="Q669">
        <v>0</v>
      </c>
      <c r="R669">
        <v>0</v>
      </c>
      <c r="S669">
        <v>0</v>
      </c>
    </row>
    <row r="670" spans="4:19" x14ac:dyDescent="0.3">
      <c r="D670">
        <v>6604243</v>
      </c>
      <c r="F670">
        <f t="shared" si="10"/>
        <v>13</v>
      </c>
      <c r="N670">
        <v>13</v>
      </c>
      <c r="O670">
        <v>0</v>
      </c>
      <c r="P670">
        <v>0</v>
      </c>
      <c r="Q670">
        <v>0</v>
      </c>
      <c r="R670">
        <v>0</v>
      </c>
      <c r="S670">
        <v>0</v>
      </c>
    </row>
    <row r="671" spans="4:19" x14ac:dyDescent="0.3">
      <c r="D671">
        <v>6604244</v>
      </c>
      <c r="F671">
        <f t="shared" si="10"/>
        <v>209</v>
      </c>
      <c r="N671">
        <v>209</v>
      </c>
      <c r="O671">
        <v>0</v>
      </c>
      <c r="P671">
        <v>0</v>
      </c>
      <c r="Q671">
        <v>0</v>
      </c>
      <c r="R671">
        <v>0</v>
      </c>
      <c r="S671">
        <v>0</v>
      </c>
    </row>
    <row r="672" spans="4:19" x14ac:dyDescent="0.3">
      <c r="D672">
        <v>6604340</v>
      </c>
      <c r="F672">
        <f t="shared" si="10"/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</row>
    <row r="673" spans="4:19" x14ac:dyDescent="0.3">
      <c r="D673">
        <v>6608392</v>
      </c>
      <c r="F673">
        <f t="shared" si="10"/>
        <v>3</v>
      </c>
      <c r="N673">
        <v>3</v>
      </c>
      <c r="O673">
        <v>0</v>
      </c>
      <c r="P673">
        <v>0</v>
      </c>
      <c r="Q673">
        <v>0</v>
      </c>
      <c r="R673">
        <v>0</v>
      </c>
      <c r="S673">
        <v>0</v>
      </c>
    </row>
    <row r="674" spans="4:19" x14ac:dyDescent="0.3">
      <c r="D674">
        <v>6821278</v>
      </c>
      <c r="F674">
        <f t="shared" si="10"/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</row>
    <row r="675" spans="4:19" x14ac:dyDescent="0.3">
      <c r="D675">
        <v>6821327</v>
      </c>
      <c r="F675">
        <f t="shared" si="10"/>
        <v>194</v>
      </c>
      <c r="N675">
        <v>187</v>
      </c>
      <c r="O675">
        <v>7</v>
      </c>
      <c r="P675">
        <v>0</v>
      </c>
      <c r="Q675">
        <v>0</v>
      </c>
      <c r="R675">
        <v>0</v>
      </c>
      <c r="S675">
        <v>0</v>
      </c>
    </row>
    <row r="676" spans="4:19" x14ac:dyDescent="0.3">
      <c r="D676">
        <v>6822137</v>
      </c>
      <c r="F676">
        <f t="shared" si="10"/>
        <v>128</v>
      </c>
      <c r="N676">
        <v>128</v>
      </c>
      <c r="O676">
        <v>0</v>
      </c>
      <c r="P676">
        <v>0</v>
      </c>
      <c r="Q676">
        <v>0</v>
      </c>
      <c r="R676">
        <v>0</v>
      </c>
      <c r="S676">
        <v>0</v>
      </c>
    </row>
    <row r="677" spans="4:19" x14ac:dyDescent="0.3">
      <c r="D677">
        <v>6822339</v>
      </c>
      <c r="F677">
        <f t="shared" si="10"/>
        <v>26</v>
      </c>
      <c r="N677">
        <v>26</v>
      </c>
      <c r="O677">
        <v>0</v>
      </c>
      <c r="P677">
        <v>0</v>
      </c>
      <c r="Q677">
        <v>0</v>
      </c>
      <c r="R677">
        <v>0</v>
      </c>
      <c r="S677">
        <v>0</v>
      </c>
    </row>
    <row r="678" spans="4:19" x14ac:dyDescent="0.3">
      <c r="D678">
        <v>6822606</v>
      </c>
      <c r="F678">
        <f t="shared" si="10"/>
        <v>396</v>
      </c>
      <c r="N678">
        <v>396</v>
      </c>
      <c r="O678">
        <v>0</v>
      </c>
      <c r="P678">
        <v>0</v>
      </c>
      <c r="Q678">
        <v>0</v>
      </c>
      <c r="R678">
        <v>0</v>
      </c>
      <c r="S678">
        <v>0</v>
      </c>
    </row>
    <row r="679" spans="4:19" x14ac:dyDescent="0.3">
      <c r="D679">
        <v>6822987</v>
      </c>
      <c r="F679">
        <f t="shared" si="10"/>
        <v>81</v>
      </c>
      <c r="N679">
        <v>81</v>
      </c>
      <c r="O679">
        <v>0</v>
      </c>
      <c r="P679">
        <v>0</v>
      </c>
      <c r="Q679">
        <v>0</v>
      </c>
      <c r="R679">
        <v>0</v>
      </c>
      <c r="S679">
        <v>0</v>
      </c>
    </row>
    <row r="680" spans="4:19" x14ac:dyDescent="0.3">
      <c r="D680">
        <v>6823017</v>
      </c>
      <c r="F680">
        <f t="shared" si="10"/>
        <v>31</v>
      </c>
      <c r="N680">
        <v>28</v>
      </c>
      <c r="O680">
        <v>3</v>
      </c>
      <c r="P680">
        <v>0</v>
      </c>
      <c r="Q680">
        <v>0</v>
      </c>
      <c r="R680">
        <v>0</v>
      </c>
      <c r="S680">
        <v>0</v>
      </c>
    </row>
    <row r="681" spans="4:19" x14ac:dyDescent="0.3">
      <c r="D681">
        <v>6823277</v>
      </c>
      <c r="F681">
        <f t="shared" si="10"/>
        <v>13</v>
      </c>
      <c r="N681">
        <v>13</v>
      </c>
      <c r="O681">
        <v>0</v>
      </c>
      <c r="P681">
        <v>0</v>
      </c>
      <c r="Q681">
        <v>0</v>
      </c>
      <c r="R681">
        <v>0</v>
      </c>
      <c r="S681">
        <v>0</v>
      </c>
    </row>
    <row r="682" spans="4:19" x14ac:dyDescent="0.3">
      <c r="D682">
        <v>6823364</v>
      </c>
      <c r="F682">
        <f t="shared" si="10"/>
        <v>78</v>
      </c>
      <c r="N682">
        <v>78</v>
      </c>
      <c r="O682">
        <v>0</v>
      </c>
      <c r="P682">
        <v>0</v>
      </c>
      <c r="Q682">
        <v>0</v>
      </c>
      <c r="R682">
        <v>0</v>
      </c>
      <c r="S682">
        <v>0</v>
      </c>
    </row>
    <row r="683" spans="4:19" x14ac:dyDescent="0.3">
      <c r="D683">
        <v>6823365</v>
      </c>
      <c r="F683">
        <f t="shared" si="10"/>
        <v>85</v>
      </c>
      <c r="N683">
        <v>85</v>
      </c>
      <c r="O683">
        <v>0</v>
      </c>
      <c r="P683">
        <v>0</v>
      </c>
      <c r="Q683">
        <v>0</v>
      </c>
      <c r="R683">
        <v>0</v>
      </c>
      <c r="S683">
        <v>0</v>
      </c>
    </row>
    <row r="684" spans="4:19" x14ac:dyDescent="0.3">
      <c r="D684">
        <v>6823366</v>
      </c>
      <c r="F684">
        <f t="shared" si="10"/>
        <v>238</v>
      </c>
      <c r="N684">
        <v>238</v>
      </c>
      <c r="O684">
        <v>0</v>
      </c>
      <c r="P684">
        <v>0</v>
      </c>
      <c r="Q684">
        <v>0</v>
      </c>
      <c r="R684">
        <v>0</v>
      </c>
      <c r="S684">
        <v>0</v>
      </c>
    </row>
    <row r="685" spans="4:19" x14ac:dyDescent="0.3">
      <c r="D685">
        <v>6823624</v>
      </c>
      <c r="F685">
        <f t="shared" si="10"/>
        <v>101</v>
      </c>
      <c r="N685">
        <v>101</v>
      </c>
      <c r="O685">
        <v>0</v>
      </c>
      <c r="P685">
        <v>0</v>
      </c>
      <c r="Q685">
        <v>0</v>
      </c>
      <c r="R685">
        <v>0</v>
      </c>
      <c r="S685">
        <v>0</v>
      </c>
    </row>
    <row r="686" spans="4:19" x14ac:dyDescent="0.3">
      <c r="D686">
        <v>6823737</v>
      </c>
      <c r="F686">
        <f t="shared" si="10"/>
        <v>50</v>
      </c>
      <c r="N686">
        <v>50</v>
      </c>
      <c r="O686">
        <v>0</v>
      </c>
      <c r="P686">
        <v>0</v>
      </c>
      <c r="Q686">
        <v>0</v>
      </c>
      <c r="R686">
        <v>0</v>
      </c>
      <c r="S686">
        <v>0</v>
      </c>
    </row>
    <row r="687" spans="4:19" x14ac:dyDescent="0.3">
      <c r="D687">
        <v>6823929</v>
      </c>
      <c r="F687">
        <f t="shared" si="10"/>
        <v>79</v>
      </c>
      <c r="N687">
        <v>79</v>
      </c>
      <c r="O687">
        <v>0</v>
      </c>
      <c r="P687">
        <v>0</v>
      </c>
      <c r="Q687">
        <v>0</v>
      </c>
      <c r="R687">
        <v>0</v>
      </c>
      <c r="S687">
        <v>0</v>
      </c>
    </row>
    <row r="688" spans="4:19" x14ac:dyDescent="0.3">
      <c r="D688">
        <v>6824216</v>
      </c>
      <c r="F688">
        <f t="shared" si="10"/>
        <v>146</v>
      </c>
      <c r="N688">
        <v>146</v>
      </c>
      <c r="O688">
        <v>0</v>
      </c>
      <c r="P688">
        <v>0</v>
      </c>
      <c r="Q688">
        <v>0</v>
      </c>
      <c r="R688">
        <v>0</v>
      </c>
      <c r="S688">
        <v>0</v>
      </c>
    </row>
    <row r="689" spans="4:19" x14ac:dyDescent="0.3">
      <c r="D689">
        <v>6824217</v>
      </c>
      <c r="F689">
        <f t="shared" si="10"/>
        <v>4</v>
      </c>
      <c r="N689">
        <v>4</v>
      </c>
      <c r="O689">
        <v>0</v>
      </c>
      <c r="P689">
        <v>0</v>
      </c>
      <c r="Q689">
        <v>0</v>
      </c>
      <c r="R689">
        <v>0</v>
      </c>
      <c r="S689">
        <v>0</v>
      </c>
    </row>
    <row r="690" spans="4:19" x14ac:dyDescent="0.3">
      <c r="D690">
        <v>6824223</v>
      </c>
      <c r="F690">
        <f t="shared" si="10"/>
        <v>32</v>
      </c>
      <c r="N690">
        <v>32</v>
      </c>
      <c r="O690">
        <v>0</v>
      </c>
      <c r="P690">
        <v>0</v>
      </c>
      <c r="Q690">
        <v>0</v>
      </c>
      <c r="R690">
        <v>0</v>
      </c>
      <c r="S690">
        <v>0</v>
      </c>
    </row>
    <row r="691" spans="4:19" x14ac:dyDescent="0.3">
      <c r="D691">
        <v>6824225</v>
      </c>
      <c r="F691">
        <f t="shared" si="10"/>
        <v>113</v>
      </c>
      <c r="N691">
        <v>113</v>
      </c>
      <c r="O691">
        <v>0</v>
      </c>
      <c r="P691">
        <v>0</v>
      </c>
      <c r="Q691">
        <v>0</v>
      </c>
      <c r="R691">
        <v>0</v>
      </c>
      <c r="S691">
        <v>0</v>
      </c>
    </row>
    <row r="692" spans="4:19" x14ac:dyDescent="0.3">
      <c r="D692">
        <v>6824269</v>
      </c>
      <c r="F692">
        <f t="shared" si="10"/>
        <v>9</v>
      </c>
      <c r="N692">
        <v>9</v>
      </c>
      <c r="O692">
        <v>0</v>
      </c>
      <c r="P692">
        <v>0</v>
      </c>
      <c r="Q692">
        <v>0</v>
      </c>
      <c r="R692">
        <v>0</v>
      </c>
      <c r="S692">
        <v>0</v>
      </c>
    </row>
    <row r="693" spans="4:19" x14ac:dyDescent="0.3">
      <c r="D693">
        <v>6824389</v>
      </c>
      <c r="F693">
        <f t="shared" si="10"/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</row>
    <row r="694" spans="4:19" x14ac:dyDescent="0.3">
      <c r="D694">
        <v>6824452</v>
      </c>
      <c r="F694">
        <f t="shared" si="10"/>
        <v>4</v>
      </c>
      <c r="N694">
        <v>4</v>
      </c>
      <c r="O694">
        <v>0</v>
      </c>
      <c r="P694">
        <v>0</v>
      </c>
      <c r="Q694">
        <v>0</v>
      </c>
      <c r="R694">
        <v>0</v>
      </c>
      <c r="S694">
        <v>0</v>
      </c>
    </row>
    <row r="695" spans="4:19" x14ac:dyDescent="0.3">
      <c r="D695">
        <v>6824512</v>
      </c>
      <c r="F695">
        <f t="shared" si="10"/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</row>
    <row r="696" spans="4:19" x14ac:dyDescent="0.3">
      <c r="D696">
        <v>6824518</v>
      </c>
      <c r="F696">
        <f t="shared" si="10"/>
        <v>5</v>
      </c>
      <c r="N696">
        <v>5</v>
      </c>
      <c r="O696">
        <v>0</v>
      </c>
      <c r="P696">
        <v>0</v>
      </c>
      <c r="Q696">
        <v>0</v>
      </c>
      <c r="R696">
        <v>0</v>
      </c>
      <c r="S696">
        <v>0</v>
      </c>
    </row>
    <row r="697" spans="4:19" x14ac:dyDescent="0.3">
      <c r="D697">
        <v>6824585</v>
      </c>
      <c r="F697">
        <f t="shared" si="10"/>
        <v>14</v>
      </c>
      <c r="N697">
        <v>14</v>
      </c>
      <c r="O697">
        <v>0</v>
      </c>
      <c r="P697">
        <v>0</v>
      </c>
      <c r="Q697">
        <v>0</v>
      </c>
      <c r="R697">
        <v>0</v>
      </c>
      <c r="S697">
        <v>0</v>
      </c>
    </row>
    <row r="698" spans="4:19" x14ac:dyDescent="0.3">
      <c r="D698">
        <v>6824639</v>
      </c>
      <c r="F698">
        <f t="shared" si="10"/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</row>
    <row r="699" spans="4:19" x14ac:dyDescent="0.3">
      <c r="D699">
        <v>6824651</v>
      </c>
      <c r="F699">
        <f t="shared" si="10"/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</row>
    <row r="700" spans="4:19" x14ac:dyDescent="0.3">
      <c r="D700">
        <v>6825013</v>
      </c>
      <c r="F700">
        <f t="shared" si="10"/>
        <v>11</v>
      </c>
      <c r="N700">
        <v>11</v>
      </c>
      <c r="O700">
        <v>0</v>
      </c>
      <c r="P700">
        <v>0</v>
      </c>
      <c r="Q700">
        <v>0</v>
      </c>
      <c r="R700">
        <v>0</v>
      </c>
      <c r="S700">
        <v>0</v>
      </c>
    </row>
    <row r="701" spans="4:19" x14ac:dyDescent="0.3">
      <c r="D701">
        <v>6825014</v>
      </c>
      <c r="F701">
        <f t="shared" si="10"/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</row>
    <row r="702" spans="4:19" x14ac:dyDescent="0.3">
      <c r="D702">
        <v>6825016</v>
      </c>
      <c r="F702">
        <f t="shared" si="10"/>
        <v>1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0</v>
      </c>
    </row>
    <row r="703" spans="4:19" x14ac:dyDescent="0.3">
      <c r="D703">
        <v>6825018</v>
      </c>
      <c r="F703">
        <f t="shared" si="10"/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</row>
    <row r="704" spans="4:19" x14ac:dyDescent="0.3">
      <c r="D704">
        <v>6825021</v>
      </c>
      <c r="F704">
        <f t="shared" si="10"/>
        <v>26</v>
      </c>
      <c r="N704">
        <v>24</v>
      </c>
      <c r="O704">
        <v>2</v>
      </c>
      <c r="P704">
        <v>0</v>
      </c>
      <c r="Q704">
        <v>0</v>
      </c>
      <c r="R704">
        <v>0</v>
      </c>
      <c r="S704">
        <v>0</v>
      </c>
    </row>
    <row r="705" spans="4:19" x14ac:dyDescent="0.3">
      <c r="D705">
        <v>6825023</v>
      </c>
      <c r="F705">
        <f t="shared" si="10"/>
        <v>26</v>
      </c>
      <c r="N705">
        <v>26</v>
      </c>
      <c r="O705">
        <v>0</v>
      </c>
      <c r="P705">
        <v>0</v>
      </c>
      <c r="Q705">
        <v>0</v>
      </c>
      <c r="R705">
        <v>0</v>
      </c>
      <c r="S705">
        <v>0</v>
      </c>
    </row>
    <row r="706" spans="4:19" x14ac:dyDescent="0.3">
      <c r="D706">
        <v>6825024</v>
      </c>
      <c r="F706">
        <f t="shared" si="10"/>
        <v>22</v>
      </c>
      <c r="N706">
        <v>22</v>
      </c>
      <c r="O706">
        <v>0</v>
      </c>
      <c r="P706">
        <v>0</v>
      </c>
      <c r="Q706">
        <v>0</v>
      </c>
      <c r="R706">
        <v>0</v>
      </c>
      <c r="S706">
        <v>0</v>
      </c>
    </row>
    <row r="707" spans="4:19" x14ac:dyDescent="0.3">
      <c r="D707">
        <v>6825026</v>
      </c>
      <c r="F707">
        <f t="shared" ref="F707:F770" si="11">SUMIF(N707:S707,"&gt;=0")</f>
        <v>69</v>
      </c>
      <c r="N707">
        <v>67</v>
      </c>
      <c r="O707">
        <v>2</v>
      </c>
      <c r="P707">
        <v>0</v>
      </c>
      <c r="Q707">
        <v>0</v>
      </c>
      <c r="R707">
        <v>0</v>
      </c>
      <c r="S707">
        <v>0</v>
      </c>
    </row>
    <row r="708" spans="4:19" x14ac:dyDescent="0.3">
      <c r="D708">
        <v>6825027</v>
      </c>
      <c r="F708">
        <f t="shared" si="11"/>
        <v>147</v>
      </c>
      <c r="N708">
        <v>147</v>
      </c>
      <c r="O708">
        <v>0</v>
      </c>
      <c r="P708">
        <v>0</v>
      </c>
      <c r="Q708">
        <v>0</v>
      </c>
      <c r="R708">
        <v>0</v>
      </c>
      <c r="S708">
        <v>0</v>
      </c>
    </row>
    <row r="709" spans="4:19" x14ac:dyDescent="0.3">
      <c r="D709">
        <v>6825030</v>
      </c>
      <c r="F709">
        <f t="shared" si="11"/>
        <v>58</v>
      </c>
      <c r="N709">
        <v>56</v>
      </c>
      <c r="O709">
        <v>2</v>
      </c>
      <c r="P709">
        <v>0</v>
      </c>
      <c r="Q709">
        <v>0</v>
      </c>
      <c r="R709">
        <v>0</v>
      </c>
      <c r="S709">
        <v>0</v>
      </c>
    </row>
    <row r="710" spans="4:19" x14ac:dyDescent="0.3">
      <c r="D710">
        <v>6825109</v>
      </c>
      <c r="F710">
        <f t="shared" si="11"/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</row>
    <row r="711" spans="4:19" x14ac:dyDescent="0.3">
      <c r="D711">
        <v>6825110</v>
      </c>
      <c r="F711">
        <f t="shared" si="11"/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</row>
    <row r="712" spans="4:19" x14ac:dyDescent="0.3">
      <c r="D712">
        <v>6825111</v>
      </c>
      <c r="F712">
        <f t="shared" si="11"/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</row>
    <row r="713" spans="4:19" x14ac:dyDescent="0.3">
      <c r="D713">
        <v>6828441</v>
      </c>
      <c r="F713">
        <f t="shared" si="11"/>
        <v>2</v>
      </c>
      <c r="N713">
        <v>2</v>
      </c>
      <c r="O713">
        <v>0</v>
      </c>
      <c r="P713">
        <v>0</v>
      </c>
      <c r="Q713">
        <v>0</v>
      </c>
      <c r="R713">
        <v>0</v>
      </c>
      <c r="S713">
        <v>0</v>
      </c>
    </row>
    <row r="714" spans="4:19" x14ac:dyDescent="0.3">
      <c r="D714">
        <v>6828710</v>
      </c>
      <c r="F714">
        <f t="shared" si="11"/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</row>
    <row r="715" spans="4:19" x14ac:dyDescent="0.3">
      <c r="D715">
        <v>6828798</v>
      </c>
      <c r="F715">
        <f t="shared" si="11"/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</row>
    <row r="716" spans="4:19" x14ac:dyDescent="0.3">
      <c r="D716">
        <v>6828970</v>
      </c>
      <c r="F716">
        <f t="shared" si="11"/>
        <v>1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</row>
    <row r="717" spans="4:19" x14ac:dyDescent="0.3">
      <c r="D717" t="s">
        <v>29</v>
      </c>
      <c r="F717">
        <f t="shared" si="11"/>
        <v>14</v>
      </c>
      <c r="N717">
        <v>14</v>
      </c>
      <c r="O717">
        <v>0</v>
      </c>
      <c r="P717">
        <v>0</v>
      </c>
      <c r="Q717">
        <v>0</v>
      </c>
      <c r="R717">
        <v>0</v>
      </c>
      <c r="S717">
        <v>0</v>
      </c>
    </row>
    <row r="718" spans="4:19" x14ac:dyDescent="0.3">
      <c r="D718" t="s">
        <v>30</v>
      </c>
      <c r="F718">
        <f t="shared" si="11"/>
        <v>7</v>
      </c>
      <c r="N718">
        <v>7</v>
      </c>
      <c r="O718">
        <v>0</v>
      </c>
      <c r="P718">
        <v>0</v>
      </c>
      <c r="Q718">
        <v>0</v>
      </c>
      <c r="R718">
        <v>0</v>
      </c>
      <c r="S718">
        <v>0</v>
      </c>
    </row>
    <row r="719" spans="4:19" x14ac:dyDescent="0.3">
      <c r="D719" t="s">
        <v>173</v>
      </c>
      <c r="F719">
        <f t="shared" si="11"/>
        <v>598</v>
      </c>
      <c r="N719">
        <v>598</v>
      </c>
      <c r="O719">
        <v>0</v>
      </c>
      <c r="P719">
        <v>0</v>
      </c>
      <c r="Q719">
        <v>0</v>
      </c>
      <c r="R719">
        <v>0</v>
      </c>
      <c r="S719">
        <v>0</v>
      </c>
    </row>
    <row r="720" spans="4:19" x14ac:dyDescent="0.3">
      <c r="D720" t="s">
        <v>31</v>
      </c>
      <c r="F720">
        <f t="shared" si="11"/>
        <v>3700</v>
      </c>
      <c r="N720" s="3">
        <v>3700</v>
      </c>
      <c r="O720">
        <v>0</v>
      </c>
      <c r="P720">
        <v>0</v>
      </c>
      <c r="Q720">
        <v>0</v>
      </c>
      <c r="R720">
        <v>0</v>
      </c>
      <c r="S720">
        <v>0</v>
      </c>
    </row>
    <row r="721" spans="4:19" x14ac:dyDescent="0.3">
      <c r="D721" t="s">
        <v>32</v>
      </c>
      <c r="F721">
        <f t="shared" si="11"/>
        <v>14</v>
      </c>
      <c r="N721">
        <v>14</v>
      </c>
      <c r="O721">
        <v>0</v>
      </c>
      <c r="P721">
        <v>0</v>
      </c>
      <c r="Q721">
        <v>0</v>
      </c>
      <c r="R721">
        <v>0</v>
      </c>
      <c r="S721">
        <v>0</v>
      </c>
    </row>
    <row r="722" spans="4:19" x14ac:dyDescent="0.3">
      <c r="D722" t="s">
        <v>174</v>
      </c>
      <c r="F722">
        <f t="shared" si="11"/>
        <v>1201</v>
      </c>
      <c r="N722" s="3">
        <v>1201</v>
      </c>
      <c r="O722">
        <v>0</v>
      </c>
      <c r="P722">
        <v>0</v>
      </c>
      <c r="Q722">
        <v>0</v>
      </c>
      <c r="R722">
        <v>0</v>
      </c>
      <c r="S722">
        <v>0</v>
      </c>
    </row>
    <row r="723" spans="4:19" x14ac:dyDescent="0.3">
      <c r="D723" t="s">
        <v>175</v>
      </c>
      <c r="F723">
        <f t="shared" si="11"/>
        <v>117</v>
      </c>
      <c r="N723">
        <v>72</v>
      </c>
      <c r="O723">
        <v>45</v>
      </c>
      <c r="P723">
        <v>0</v>
      </c>
      <c r="Q723">
        <v>0</v>
      </c>
      <c r="R723">
        <v>0</v>
      </c>
      <c r="S723">
        <v>0</v>
      </c>
    </row>
    <row r="724" spans="4:19" x14ac:dyDescent="0.3">
      <c r="D724" t="s">
        <v>17</v>
      </c>
      <c r="F724">
        <f t="shared" si="11"/>
        <v>182</v>
      </c>
      <c r="N724">
        <v>182</v>
      </c>
      <c r="O724">
        <v>0</v>
      </c>
      <c r="P724">
        <v>0</v>
      </c>
      <c r="Q724">
        <v>0</v>
      </c>
      <c r="R724">
        <v>0</v>
      </c>
      <c r="S724">
        <v>0</v>
      </c>
    </row>
    <row r="725" spans="4:19" x14ac:dyDescent="0.3">
      <c r="D725" t="s">
        <v>37</v>
      </c>
      <c r="F725">
        <f t="shared" si="11"/>
        <v>164</v>
      </c>
      <c r="N725">
        <v>164</v>
      </c>
      <c r="O725">
        <v>0</v>
      </c>
      <c r="P725">
        <v>0</v>
      </c>
      <c r="Q725">
        <v>0</v>
      </c>
      <c r="R725">
        <v>0</v>
      </c>
      <c r="S725">
        <v>0</v>
      </c>
    </row>
    <row r="726" spans="4:19" x14ac:dyDescent="0.3">
      <c r="D726" t="s">
        <v>18</v>
      </c>
      <c r="F726">
        <f t="shared" si="11"/>
        <v>24</v>
      </c>
      <c r="N726">
        <v>24</v>
      </c>
      <c r="O726">
        <v>0</v>
      </c>
      <c r="P726">
        <v>0</v>
      </c>
      <c r="Q726">
        <v>0</v>
      </c>
      <c r="R726">
        <v>0</v>
      </c>
      <c r="S726">
        <v>0</v>
      </c>
    </row>
    <row r="727" spans="4:19" x14ac:dyDescent="0.3">
      <c r="D727">
        <v>320003</v>
      </c>
      <c r="F727">
        <f t="shared" si="11"/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</row>
    <row r="728" spans="4:19" x14ac:dyDescent="0.3">
      <c r="D728">
        <v>320504</v>
      </c>
      <c r="F728">
        <f t="shared" si="11"/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</row>
    <row r="729" spans="4:19" x14ac:dyDescent="0.3">
      <c r="D729">
        <v>5140203</v>
      </c>
      <c r="F729">
        <f t="shared" si="11"/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</row>
    <row r="730" spans="4:19" x14ac:dyDescent="0.3">
      <c r="D730">
        <v>5307653</v>
      </c>
      <c r="F730">
        <f t="shared" si="11"/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</row>
    <row r="731" spans="4:19" x14ac:dyDescent="0.3">
      <c r="D731">
        <v>5320034</v>
      </c>
      <c r="F731">
        <f t="shared" si="11"/>
        <v>50</v>
      </c>
      <c r="N731">
        <v>50</v>
      </c>
      <c r="O731">
        <v>0</v>
      </c>
      <c r="P731">
        <v>0</v>
      </c>
      <c r="Q731">
        <v>0</v>
      </c>
      <c r="R731">
        <v>0</v>
      </c>
      <c r="S731">
        <v>0</v>
      </c>
    </row>
    <row r="732" spans="4:19" x14ac:dyDescent="0.3">
      <c r="D732">
        <v>5320037</v>
      </c>
      <c r="F732">
        <f t="shared" si="11"/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</row>
    <row r="733" spans="4:19" x14ac:dyDescent="0.3">
      <c r="D733">
        <v>5322355</v>
      </c>
      <c r="F733">
        <f t="shared" si="11"/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</row>
    <row r="734" spans="4:19" x14ac:dyDescent="0.3">
      <c r="D734">
        <v>5380187</v>
      </c>
      <c r="F734">
        <f t="shared" si="11"/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</row>
    <row r="735" spans="4:19" x14ac:dyDescent="0.3">
      <c r="D735">
        <v>5380580</v>
      </c>
      <c r="F735">
        <f t="shared" si="11"/>
        <v>1000</v>
      </c>
      <c r="N735" s="3">
        <v>1000</v>
      </c>
      <c r="O735">
        <v>0</v>
      </c>
      <c r="P735">
        <v>0</v>
      </c>
      <c r="Q735">
        <v>0</v>
      </c>
      <c r="R735">
        <v>0</v>
      </c>
      <c r="S735">
        <v>0</v>
      </c>
    </row>
    <row r="736" spans="4:19" x14ac:dyDescent="0.3">
      <c r="D736">
        <v>5380581</v>
      </c>
      <c r="F736">
        <f t="shared" si="11"/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</row>
    <row r="737" spans="4:19" x14ac:dyDescent="0.3">
      <c r="D737">
        <v>5380584</v>
      </c>
      <c r="F737">
        <f t="shared" si="11"/>
        <v>500</v>
      </c>
      <c r="N737">
        <v>500</v>
      </c>
      <c r="O737">
        <v>0</v>
      </c>
      <c r="P737">
        <v>0</v>
      </c>
      <c r="Q737">
        <v>0</v>
      </c>
      <c r="R737">
        <v>0</v>
      </c>
      <c r="S737">
        <v>0</v>
      </c>
    </row>
    <row r="738" spans="4:19" x14ac:dyDescent="0.3">
      <c r="D738">
        <v>5380586</v>
      </c>
      <c r="F738">
        <f t="shared" si="11"/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</row>
    <row r="739" spans="4:19" x14ac:dyDescent="0.3">
      <c r="D739">
        <v>5380609</v>
      </c>
      <c r="F739">
        <f t="shared" si="11"/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</row>
    <row r="740" spans="4:19" x14ac:dyDescent="0.3">
      <c r="D740">
        <v>5381816000</v>
      </c>
      <c r="F740">
        <f t="shared" si="11"/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</row>
    <row r="741" spans="4:19" x14ac:dyDescent="0.3">
      <c r="D741">
        <v>5381816600</v>
      </c>
      <c r="F741">
        <f t="shared" si="11"/>
        <v>1000</v>
      </c>
      <c r="N741" s="3">
        <v>1000</v>
      </c>
      <c r="O741">
        <v>0</v>
      </c>
      <c r="P741">
        <v>0</v>
      </c>
      <c r="Q741">
        <v>0</v>
      </c>
      <c r="R741">
        <v>0</v>
      </c>
      <c r="S741">
        <v>0</v>
      </c>
    </row>
    <row r="742" spans="4:19" x14ac:dyDescent="0.3">
      <c r="D742">
        <v>5382209</v>
      </c>
      <c r="F742">
        <f t="shared" si="11"/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</row>
    <row r="743" spans="4:19" x14ac:dyDescent="0.3">
      <c r="D743">
        <v>5382321</v>
      </c>
      <c r="F743">
        <f t="shared" si="11"/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</row>
    <row r="744" spans="4:19" x14ac:dyDescent="0.3">
      <c r="D744">
        <v>5382862</v>
      </c>
      <c r="F744">
        <f t="shared" si="11"/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</row>
    <row r="745" spans="4:19" x14ac:dyDescent="0.3">
      <c r="D745">
        <v>5388331</v>
      </c>
      <c r="F745">
        <f t="shared" si="11"/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</row>
    <row r="746" spans="4:19" x14ac:dyDescent="0.3">
      <c r="D746" t="s">
        <v>8</v>
      </c>
      <c r="F746">
        <f t="shared" si="11"/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</row>
    <row r="747" spans="4:19" x14ac:dyDescent="0.3">
      <c r="D747">
        <v>6044237</v>
      </c>
      <c r="F747">
        <f t="shared" si="11"/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</row>
    <row r="748" spans="4:19" x14ac:dyDescent="0.3">
      <c r="D748">
        <v>6048641</v>
      </c>
      <c r="F748">
        <f t="shared" si="11"/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</row>
    <row r="749" spans="4:19" x14ac:dyDescent="0.3">
      <c r="D749">
        <v>6153415</v>
      </c>
      <c r="F749">
        <f t="shared" si="11"/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</row>
    <row r="750" spans="4:19" x14ac:dyDescent="0.3">
      <c r="D750">
        <v>6821327</v>
      </c>
      <c r="F750">
        <f t="shared" si="11"/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</row>
    <row r="751" spans="4:19" x14ac:dyDescent="0.3">
      <c r="D751">
        <v>6822339</v>
      </c>
      <c r="F751">
        <f t="shared" si="11"/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</row>
    <row r="752" spans="4:19" x14ac:dyDescent="0.3">
      <c r="D752">
        <v>6823365</v>
      </c>
      <c r="F752">
        <f t="shared" si="11"/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</row>
    <row r="753" spans="4:19" x14ac:dyDescent="0.3">
      <c r="D753">
        <v>6823624</v>
      </c>
      <c r="F753">
        <f t="shared" si="11"/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</row>
    <row r="754" spans="4:19" x14ac:dyDescent="0.3">
      <c r="D754" t="s">
        <v>175</v>
      </c>
      <c r="F754">
        <f t="shared" si="11"/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</row>
    <row r="755" spans="4:19" x14ac:dyDescent="0.3">
      <c r="D755">
        <v>7849</v>
      </c>
      <c r="F755">
        <f t="shared" si="11"/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</row>
    <row r="756" spans="4:19" x14ac:dyDescent="0.3">
      <c r="D756">
        <v>2690070</v>
      </c>
      <c r="F756">
        <f t="shared" si="11"/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</row>
    <row r="757" spans="4:19" x14ac:dyDescent="0.3">
      <c r="D757">
        <v>2692065</v>
      </c>
      <c r="F757">
        <f t="shared" si="11"/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</row>
    <row r="758" spans="4:19" x14ac:dyDescent="0.3">
      <c r="D758">
        <v>2692400</v>
      </c>
      <c r="F758">
        <f t="shared" si="11"/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</row>
    <row r="759" spans="4:19" x14ac:dyDescent="0.3">
      <c r="D759">
        <v>2692401</v>
      </c>
      <c r="F759">
        <f t="shared" si="11"/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</row>
    <row r="760" spans="4:19" x14ac:dyDescent="0.3">
      <c r="D760">
        <v>2692461</v>
      </c>
      <c r="F760">
        <f t="shared" si="11"/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</row>
    <row r="761" spans="4:19" x14ac:dyDescent="0.3">
      <c r="D761">
        <v>320504</v>
      </c>
      <c r="F761">
        <f t="shared" si="11"/>
        <v>0</v>
      </c>
      <c r="N761">
        <v>0</v>
      </c>
      <c r="O761">
        <v>0</v>
      </c>
      <c r="P761">
        <v>0</v>
      </c>
      <c r="Q761">
        <v>-174</v>
      </c>
      <c r="R761">
        <v>0</v>
      </c>
      <c r="S761">
        <v>0</v>
      </c>
    </row>
    <row r="762" spans="4:19" x14ac:dyDescent="0.3">
      <c r="D762">
        <v>5300051</v>
      </c>
      <c r="F762">
        <f t="shared" si="11"/>
        <v>0</v>
      </c>
      <c r="N762">
        <v>0</v>
      </c>
      <c r="O762">
        <v>0</v>
      </c>
      <c r="P762">
        <v>0</v>
      </c>
      <c r="Q762">
        <v>-139</v>
      </c>
      <c r="R762">
        <v>0</v>
      </c>
      <c r="S762">
        <v>0</v>
      </c>
    </row>
    <row r="763" spans="4:19" x14ac:dyDescent="0.3">
      <c r="D763">
        <v>5300826</v>
      </c>
      <c r="F763">
        <f t="shared" si="11"/>
        <v>0</v>
      </c>
      <c r="N763">
        <v>0</v>
      </c>
      <c r="O763">
        <v>0</v>
      </c>
      <c r="P763">
        <v>0</v>
      </c>
      <c r="Q763">
        <v>-121</v>
      </c>
      <c r="R763">
        <v>0</v>
      </c>
      <c r="S763">
        <v>0</v>
      </c>
    </row>
    <row r="764" spans="4:19" x14ac:dyDescent="0.3">
      <c r="D764">
        <v>5300845</v>
      </c>
      <c r="F764">
        <f t="shared" si="11"/>
        <v>0</v>
      </c>
      <c r="N764">
        <v>0</v>
      </c>
      <c r="O764">
        <v>0</v>
      </c>
      <c r="P764">
        <v>0</v>
      </c>
      <c r="Q764">
        <v>-120</v>
      </c>
      <c r="R764">
        <v>0</v>
      </c>
      <c r="S764">
        <v>0</v>
      </c>
    </row>
    <row r="765" spans="4:19" x14ac:dyDescent="0.3">
      <c r="D765">
        <v>5307060</v>
      </c>
      <c r="F765">
        <f t="shared" si="11"/>
        <v>0</v>
      </c>
      <c r="N765">
        <v>0</v>
      </c>
      <c r="O765">
        <v>0</v>
      </c>
      <c r="P765">
        <v>0</v>
      </c>
      <c r="Q765">
        <v>-1</v>
      </c>
      <c r="R765">
        <v>0</v>
      </c>
      <c r="S765">
        <v>0</v>
      </c>
    </row>
    <row r="766" spans="4:19" x14ac:dyDescent="0.3">
      <c r="D766">
        <v>5307082</v>
      </c>
      <c r="F766">
        <f t="shared" si="11"/>
        <v>0</v>
      </c>
      <c r="N766">
        <v>0</v>
      </c>
      <c r="O766">
        <v>0</v>
      </c>
      <c r="P766">
        <v>0</v>
      </c>
      <c r="Q766" s="3">
        <v>-1894</v>
      </c>
      <c r="R766">
        <v>0</v>
      </c>
      <c r="S766">
        <v>0</v>
      </c>
    </row>
    <row r="767" spans="4:19" x14ac:dyDescent="0.3">
      <c r="D767">
        <v>5307087</v>
      </c>
      <c r="F767">
        <f t="shared" si="11"/>
        <v>0</v>
      </c>
      <c r="N767">
        <v>0</v>
      </c>
      <c r="O767">
        <v>0</v>
      </c>
      <c r="P767">
        <v>0</v>
      </c>
      <c r="Q767">
        <v>-130</v>
      </c>
      <c r="R767">
        <v>0</v>
      </c>
      <c r="S767">
        <v>0</v>
      </c>
    </row>
    <row r="768" spans="4:19" x14ac:dyDescent="0.3">
      <c r="D768">
        <v>5307110</v>
      </c>
      <c r="F768">
        <f t="shared" si="11"/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</row>
    <row r="769" spans="4:19" x14ac:dyDescent="0.3">
      <c r="D769">
        <v>5307152</v>
      </c>
      <c r="F769">
        <f t="shared" si="11"/>
        <v>3</v>
      </c>
      <c r="N769">
        <v>0</v>
      </c>
      <c r="O769">
        <v>0</v>
      </c>
      <c r="P769">
        <v>0</v>
      </c>
      <c r="Q769">
        <v>3</v>
      </c>
      <c r="R769">
        <v>0</v>
      </c>
      <c r="S769">
        <v>0</v>
      </c>
    </row>
    <row r="770" spans="4:19" x14ac:dyDescent="0.3">
      <c r="D770">
        <v>5307523</v>
      </c>
      <c r="F770">
        <f t="shared" si="11"/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</row>
    <row r="771" spans="4:19" x14ac:dyDescent="0.3">
      <c r="D771">
        <v>5307753</v>
      </c>
      <c r="F771">
        <f t="shared" ref="F771:F834" si="12">SUMIF(N771:S771,"&gt;=0")</f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</row>
    <row r="772" spans="4:19" x14ac:dyDescent="0.3">
      <c r="D772">
        <v>5307972</v>
      </c>
      <c r="F772">
        <f t="shared" si="12"/>
        <v>0</v>
      </c>
      <c r="N772">
        <v>0</v>
      </c>
      <c r="O772">
        <v>0</v>
      </c>
      <c r="P772">
        <v>0</v>
      </c>
      <c r="Q772">
        <v>-51</v>
      </c>
      <c r="R772">
        <v>0</v>
      </c>
      <c r="S772">
        <v>0</v>
      </c>
    </row>
    <row r="773" spans="4:19" x14ac:dyDescent="0.3">
      <c r="D773">
        <v>5309159</v>
      </c>
      <c r="F773">
        <f t="shared" si="12"/>
        <v>0</v>
      </c>
      <c r="N773">
        <v>0</v>
      </c>
      <c r="O773">
        <v>0</v>
      </c>
      <c r="P773">
        <v>0</v>
      </c>
      <c r="Q773">
        <v>-20</v>
      </c>
      <c r="R773">
        <v>0</v>
      </c>
      <c r="S773">
        <v>0</v>
      </c>
    </row>
    <row r="774" spans="4:19" x14ac:dyDescent="0.3">
      <c r="D774">
        <v>5322330</v>
      </c>
      <c r="F774">
        <f t="shared" si="12"/>
        <v>730</v>
      </c>
      <c r="N774">
        <v>0</v>
      </c>
      <c r="O774">
        <v>0</v>
      </c>
      <c r="P774">
        <v>0</v>
      </c>
      <c r="Q774">
        <v>730</v>
      </c>
      <c r="R774">
        <v>0</v>
      </c>
      <c r="S774">
        <v>0</v>
      </c>
    </row>
    <row r="775" spans="4:19" x14ac:dyDescent="0.3">
      <c r="D775">
        <v>5322355</v>
      </c>
      <c r="F775">
        <f t="shared" si="12"/>
        <v>0</v>
      </c>
      <c r="N775">
        <v>0</v>
      </c>
      <c r="O775">
        <v>0</v>
      </c>
      <c r="P775">
        <v>0</v>
      </c>
      <c r="Q775">
        <v>-993</v>
      </c>
      <c r="R775">
        <v>0</v>
      </c>
      <c r="S775">
        <v>0</v>
      </c>
    </row>
    <row r="776" spans="4:19" x14ac:dyDescent="0.3">
      <c r="D776">
        <v>5381816000</v>
      </c>
      <c r="F776">
        <f t="shared" si="12"/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</row>
    <row r="777" spans="4:19" x14ac:dyDescent="0.3">
      <c r="D777">
        <v>5384623</v>
      </c>
      <c r="F777">
        <f t="shared" si="12"/>
        <v>0</v>
      </c>
      <c r="N777">
        <v>0</v>
      </c>
      <c r="O777">
        <v>0</v>
      </c>
      <c r="P777">
        <v>0</v>
      </c>
      <c r="Q777" s="3">
        <v>-1300</v>
      </c>
      <c r="R777">
        <v>0</v>
      </c>
      <c r="S777">
        <v>0</v>
      </c>
    </row>
    <row r="778" spans="4:19" x14ac:dyDescent="0.3">
      <c r="D778">
        <v>5500220</v>
      </c>
      <c r="F778">
        <f t="shared" si="12"/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</row>
    <row r="779" spans="4:19" x14ac:dyDescent="0.3">
      <c r="D779">
        <v>5503544</v>
      </c>
      <c r="F779">
        <f t="shared" si="12"/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</row>
    <row r="780" spans="4:19" x14ac:dyDescent="0.3">
      <c r="D780">
        <v>5810860</v>
      </c>
      <c r="F780">
        <f t="shared" si="12"/>
        <v>0</v>
      </c>
      <c r="N780">
        <v>0</v>
      </c>
      <c r="O780">
        <v>0</v>
      </c>
      <c r="P780">
        <v>0</v>
      </c>
      <c r="Q780">
        <v>-43</v>
      </c>
      <c r="R780">
        <v>0</v>
      </c>
      <c r="S780">
        <v>0</v>
      </c>
    </row>
    <row r="781" spans="4:19" x14ac:dyDescent="0.3">
      <c r="D781">
        <v>5813026</v>
      </c>
      <c r="F781">
        <f t="shared" si="12"/>
        <v>0</v>
      </c>
      <c r="N781">
        <v>0</v>
      </c>
      <c r="O781">
        <v>0</v>
      </c>
      <c r="P781">
        <v>0</v>
      </c>
      <c r="Q781">
        <v>-50</v>
      </c>
      <c r="R781">
        <v>0</v>
      </c>
      <c r="S781">
        <v>0</v>
      </c>
    </row>
    <row r="782" spans="4:19" x14ac:dyDescent="0.3">
      <c r="D782">
        <v>5813802</v>
      </c>
      <c r="F782">
        <f t="shared" si="12"/>
        <v>0</v>
      </c>
      <c r="N782">
        <v>0</v>
      </c>
      <c r="O782">
        <v>0</v>
      </c>
      <c r="P782">
        <v>0</v>
      </c>
      <c r="Q782">
        <v>-3</v>
      </c>
      <c r="R782">
        <v>0</v>
      </c>
      <c r="S782">
        <v>0</v>
      </c>
    </row>
    <row r="783" spans="4:19" x14ac:dyDescent="0.3">
      <c r="D783" t="s">
        <v>170</v>
      </c>
      <c r="F783">
        <f t="shared" si="12"/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</row>
    <row r="784" spans="4:19" x14ac:dyDescent="0.3">
      <c r="D784" t="s">
        <v>11</v>
      </c>
      <c r="F784">
        <f t="shared" si="12"/>
        <v>4</v>
      </c>
      <c r="N784">
        <v>0</v>
      </c>
      <c r="O784">
        <v>0</v>
      </c>
      <c r="P784">
        <v>0</v>
      </c>
      <c r="Q784">
        <v>4</v>
      </c>
      <c r="R784">
        <v>0</v>
      </c>
      <c r="S784">
        <v>0</v>
      </c>
    </row>
    <row r="785" spans="4:19" x14ac:dyDescent="0.3">
      <c r="D785">
        <v>6012123</v>
      </c>
      <c r="F785">
        <f t="shared" si="12"/>
        <v>65</v>
      </c>
      <c r="N785">
        <v>0</v>
      </c>
      <c r="O785">
        <v>0</v>
      </c>
      <c r="P785">
        <v>0</v>
      </c>
      <c r="Q785">
        <v>65</v>
      </c>
      <c r="R785">
        <v>0</v>
      </c>
      <c r="S785">
        <v>0</v>
      </c>
    </row>
    <row r="786" spans="4:19" x14ac:dyDescent="0.3">
      <c r="D786">
        <v>6012604</v>
      </c>
      <c r="F786">
        <f t="shared" si="12"/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</row>
    <row r="787" spans="4:19" x14ac:dyDescent="0.3">
      <c r="D787">
        <v>6016608</v>
      </c>
      <c r="F787">
        <f t="shared" si="12"/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</row>
    <row r="788" spans="4:19" x14ac:dyDescent="0.3">
      <c r="D788">
        <v>6017614</v>
      </c>
      <c r="F788">
        <f t="shared" si="12"/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</row>
    <row r="789" spans="4:19" x14ac:dyDescent="0.3">
      <c r="D789" t="s">
        <v>12</v>
      </c>
      <c r="F789">
        <f t="shared" si="12"/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</row>
    <row r="790" spans="4:19" x14ac:dyDescent="0.3">
      <c r="D790">
        <v>6045475</v>
      </c>
      <c r="F790">
        <f t="shared" si="12"/>
        <v>0</v>
      </c>
      <c r="N790">
        <v>0</v>
      </c>
      <c r="O790">
        <v>0</v>
      </c>
      <c r="P790">
        <v>0</v>
      </c>
      <c r="Q790">
        <v>-16</v>
      </c>
      <c r="R790">
        <v>0</v>
      </c>
      <c r="S790">
        <v>0</v>
      </c>
    </row>
    <row r="791" spans="4:19" x14ac:dyDescent="0.3">
      <c r="D791">
        <v>6052257</v>
      </c>
      <c r="F791">
        <f t="shared" si="12"/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</row>
    <row r="792" spans="4:19" x14ac:dyDescent="0.3">
      <c r="D792">
        <v>6052860</v>
      </c>
      <c r="F792">
        <f t="shared" si="12"/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</row>
    <row r="793" spans="4:19" x14ac:dyDescent="0.3">
      <c r="D793">
        <v>6055561</v>
      </c>
      <c r="F793">
        <f t="shared" si="12"/>
        <v>0</v>
      </c>
      <c r="N793">
        <v>0</v>
      </c>
      <c r="O793">
        <v>0</v>
      </c>
      <c r="P793">
        <v>0</v>
      </c>
      <c r="Q793">
        <v>-25</v>
      </c>
      <c r="R793">
        <v>0</v>
      </c>
      <c r="S793">
        <v>0</v>
      </c>
    </row>
    <row r="794" spans="4:19" x14ac:dyDescent="0.3">
      <c r="D794">
        <v>6055573</v>
      </c>
      <c r="F794">
        <f t="shared" si="12"/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</row>
    <row r="795" spans="4:19" x14ac:dyDescent="0.3">
      <c r="D795">
        <v>6056297</v>
      </c>
      <c r="F795">
        <f t="shared" si="12"/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</row>
    <row r="796" spans="4:19" x14ac:dyDescent="0.3">
      <c r="D796">
        <v>6074035</v>
      </c>
      <c r="F796">
        <f t="shared" si="12"/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</row>
    <row r="797" spans="4:19" x14ac:dyDescent="0.3">
      <c r="D797">
        <v>6144111</v>
      </c>
      <c r="F797">
        <f t="shared" si="12"/>
        <v>0</v>
      </c>
      <c r="N797">
        <v>0</v>
      </c>
      <c r="O797">
        <v>0</v>
      </c>
      <c r="P797">
        <v>0</v>
      </c>
      <c r="Q797">
        <v>-6</v>
      </c>
      <c r="R797">
        <v>0</v>
      </c>
      <c r="S797">
        <v>0</v>
      </c>
    </row>
    <row r="798" spans="4:19" x14ac:dyDescent="0.3">
      <c r="D798">
        <v>6152221</v>
      </c>
      <c r="F798">
        <f t="shared" si="12"/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</row>
    <row r="799" spans="4:19" x14ac:dyDescent="0.3">
      <c r="D799">
        <v>6152745</v>
      </c>
      <c r="F799">
        <f t="shared" si="12"/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</row>
    <row r="800" spans="4:19" x14ac:dyDescent="0.3">
      <c r="D800">
        <v>6152824</v>
      </c>
      <c r="F800">
        <f t="shared" si="12"/>
        <v>1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</row>
    <row r="801" spans="4:19" x14ac:dyDescent="0.3">
      <c r="D801">
        <v>6154482</v>
      </c>
      <c r="F801">
        <f t="shared" si="12"/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</row>
    <row r="802" spans="4:19" x14ac:dyDescent="0.3">
      <c r="D802">
        <v>6154489</v>
      </c>
      <c r="F802">
        <f t="shared" si="12"/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</row>
    <row r="803" spans="4:19" x14ac:dyDescent="0.3">
      <c r="D803">
        <v>6154490</v>
      </c>
      <c r="F803">
        <f t="shared" si="12"/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</row>
    <row r="804" spans="4:19" x14ac:dyDescent="0.3">
      <c r="D804">
        <v>6154522</v>
      </c>
      <c r="F804">
        <f t="shared" si="12"/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</row>
    <row r="805" spans="4:19" x14ac:dyDescent="0.3">
      <c r="D805">
        <v>6155127</v>
      </c>
      <c r="F805">
        <f t="shared" si="12"/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</row>
    <row r="806" spans="4:19" x14ac:dyDescent="0.3">
      <c r="D806">
        <v>6203016</v>
      </c>
      <c r="F806">
        <f t="shared" si="12"/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</row>
    <row r="807" spans="4:19" x14ac:dyDescent="0.3">
      <c r="D807">
        <v>6203054</v>
      </c>
      <c r="F807">
        <f t="shared" si="12"/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</row>
    <row r="808" spans="4:19" x14ac:dyDescent="0.3">
      <c r="D808">
        <v>6204232</v>
      </c>
      <c r="F808">
        <f t="shared" si="12"/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</row>
    <row r="809" spans="4:19" x14ac:dyDescent="0.3">
      <c r="D809">
        <v>6204256</v>
      </c>
      <c r="F809">
        <f t="shared" si="12"/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</row>
    <row r="810" spans="4:19" x14ac:dyDescent="0.3">
      <c r="D810">
        <v>6252051</v>
      </c>
      <c r="F810">
        <f t="shared" si="12"/>
        <v>2</v>
      </c>
      <c r="N810">
        <v>0</v>
      </c>
      <c r="O810">
        <v>0</v>
      </c>
      <c r="P810">
        <v>0</v>
      </c>
      <c r="Q810">
        <v>2</v>
      </c>
      <c r="R810">
        <v>0</v>
      </c>
      <c r="S810">
        <v>0</v>
      </c>
    </row>
    <row r="811" spans="4:19" x14ac:dyDescent="0.3">
      <c r="D811">
        <v>6252379</v>
      </c>
      <c r="F811">
        <f t="shared" si="12"/>
        <v>0</v>
      </c>
      <c r="N811">
        <v>0</v>
      </c>
      <c r="O811">
        <v>0</v>
      </c>
      <c r="P811">
        <v>0</v>
      </c>
      <c r="Q811">
        <v>-13</v>
      </c>
      <c r="R811">
        <v>0</v>
      </c>
      <c r="S811">
        <v>0</v>
      </c>
    </row>
    <row r="812" spans="4:19" x14ac:dyDescent="0.3">
      <c r="D812">
        <v>6254136</v>
      </c>
      <c r="F812">
        <f t="shared" si="12"/>
        <v>9</v>
      </c>
      <c r="N812">
        <v>0</v>
      </c>
      <c r="O812">
        <v>0</v>
      </c>
      <c r="P812">
        <v>0</v>
      </c>
      <c r="Q812">
        <v>9</v>
      </c>
      <c r="R812">
        <v>0</v>
      </c>
      <c r="S812">
        <v>0</v>
      </c>
    </row>
    <row r="813" spans="4:19" x14ac:dyDescent="0.3">
      <c r="D813">
        <v>6405007</v>
      </c>
      <c r="F813">
        <f t="shared" si="12"/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</row>
    <row r="814" spans="4:19" x14ac:dyDescent="0.3">
      <c r="D814">
        <v>6502853</v>
      </c>
      <c r="F814">
        <f t="shared" si="12"/>
        <v>0</v>
      </c>
      <c r="N814">
        <v>0</v>
      </c>
      <c r="O814">
        <v>0</v>
      </c>
      <c r="P814">
        <v>0</v>
      </c>
      <c r="Q814">
        <v>-30</v>
      </c>
      <c r="R814">
        <v>0</v>
      </c>
      <c r="S814">
        <v>0</v>
      </c>
    </row>
    <row r="815" spans="4:19" x14ac:dyDescent="0.3">
      <c r="D815">
        <v>6602253</v>
      </c>
      <c r="F815">
        <f t="shared" si="12"/>
        <v>0</v>
      </c>
      <c r="N815">
        <v>0</v>
      </c>
      <c r="O815">
        <v>0</v>
      </c>
      <c r="P815">
        <v>0</v>
      </c>
      <c r="Q815">
        <v>-25</v>
      </c>
      <c r="R815">
        <v>0</v>
      </c>
      <c r="S815">
        <v>0</v>
      </c>
    </row>
    <row r="816" spans="4:19" x14ac:dyDescent="0.3">
      <c r="D816">
        <v>6825014</v>
      </c>
      <c r="F816">
        <f t="shared" si="12"/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</row>
    <row r="817" spans="4:19" x14ac:dyDescent="0.3">
      <c r="D817">
        <v>6825023</v>
      </c>
      <c r="F817">
        <f t="shared" si="12"/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</row>
    <row r="818" spans="4:19" x14ac:dyDescent="0.3">
      <c r="D818" t="s">
        <v>173</v>
      </c>
      <c r="F818">
        <f t="shared" si="12"/>
        <v>0</v>
      </c>
      <c r="N818">
        <v>0</v>
      </c>
      <c r="O818">
        <v>0</v>
      </c>
      <c r="P818">
        <v>0</v>
      </c>
      <c r="Q818">
        <v>-112</v>
      </c>
      <c r="R818">
        <v>0</v>
      </c>
      <c r="S818">
        <v>0</v>
      </c>
    </row>
    <row r="819" spans="4:19" x14ac:dyDescent="0.3">
      <c r="D819" t="s">
        <v>31</v>
      </c>
      <c r="F819">
        <f t="shared" si="12"/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</row>
    <row r="820" spans="4:19" x14ac:dyDescent="0.3">
      <c r="D820" t="s">
        <v>174</v>
      </c>
      <c r="F820">
        <f t="shared" si="12"/>
        <v>0</v>
      </c>
      <c r="N820">
        <v>0</v>
      </c>
      <c r="O820">
        <v>0</v>
      </c>
      <c r="P820">
        <v>0</v>
      </c>
      <c r="Q820">
        <v>-4</v>
      </c>
      <c r="R820">
        <v>0</v>
      </c>
      <c r="S820">
        <v>0</v>
      </c>
    </row>
    <row r="821" spans="4:19" x14ac:dyDescent="0.3">
      <c r="D821" t="s">
        <v>175</v>
      </c>
      <c r="F821">
        <f t="shared" si="12"/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</row>
    <row r="822" spans="4:19" x14ac:dyDescent="0.3">
      <c r="D822">
        <v>5306958</v>
      </c>
      <c r="F822">
        <f t="shared" si="12"/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</row>
    <row r="823" spans="4:19" x14ac:dyDescent="0.3">
      <c r="D823">
        <v>5500220</v>
      </c>
      <c r="F823">
        <f t="shared" si="12"/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</row>
    <row r="824" spans="4:19" x14ac:dyDescent="0.3">
      <c r="D824">
        <v>5503544</v>
      </c>
      <c r="F824">
        <f t="shared" si="12"/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</row>
    <row r="825" spans="4:19" x14ac:dyDescent="0.3">
      <c r="D825">
        <v>5813802</v>
      </c>
      <c r="F825">
        <f t="shared" si="12"/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</row>
    <row r="826" spans="4:19" x14ac:dyDescent="0.3">
      <c r="D826">
        <v>6011588</v>
      </c>
      <c r="F826">
        <f t="shared" si="12"/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</row>
    <row r="827" spans="4:19" x14ac:dyDescent="0.3">
      <c r="D827">
        <v>6015115</v>
      </c>
      <c r="F827">
        <f t="shared" si="12"/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</row>
    <row r="828" spans="4:19" x14ac:dyDescent="0.3">
      <c r="D828">
        <v>6016605</v>
      </c>
      <c r="F828">
        <f t="shared" si="12"/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</row>
    <row r="829" spans="4:19" x14ac:dyDescent="0.3">
      <c r="D829">
        <v>6016606</v>
      </c>
      <c r="F829">
        <f t="shared" si="12"/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</row>
    <row r="830" spans="4:19" x14ac:dyDescent="0.3">
      <c r="D830">
        <v>6016607</v>
      </c>
      <c r="F830">
        <f t="shared" si="12"/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</row>
    <row r="831" spans="4:19" x14ac:dyDescent="0.3">
      <c r="D831">
        <v>6016608</v>
      </c>
      <c r="F831">
        <f t="shared" si="12"/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</row>
    <row r="832" spans="4:19" x14ac:dyDescent="0.3">
      <c r="D832">
        <v>6017429</v>
      </c>
      <c r="F832">
        <f t="shared" si="12"/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</row>
    <row r="833" spans="4:19" x14ac:dyDescent="0.3">
      <c r="D833">
        <v>6017430</v>
      </c>
      <c r="F833">
        <f t="shared" si="12"/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</row>
    <row r="834" spans="4:19" x14ac:dyDescent="0.3">
      <c r="D834">
        <v>6017698</v>
      </c>
      <c r="F834">
        <f t="shared" si="12"/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</row>
    <row r="835" spans="4:19" x14ac:dyDescent="0.3">
      <c r="D835">
        <v>6017700</v>
      </c>
      <c r="F835">
        <f t="shared" ref="F835:F898" si="13">SUMIF(N835:S835,"&gt;=0")</f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</row>
    <row r="836" spans="4:19" x14ac:dyDescent="0.3">
      <c r="D836" t="s">
        <v>14</v>
      </c>
      <c r="F836">
        <f t="shared" si="13"/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</row>
    <row r="837" spans="4:19" x14ac:dyDescent="0.3">
      <c r="D837" t="s">
        <v>25</v>
      </c>
      <c r="F837">
        <f t="shared" si="13"/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</row>
    <row r="838" spans="4:19" x14ac:dyDescent="0.3">
      <c r="D838">
        <v>6032326</v>
      </c>
      <c r="F838">
        <f t="shared" si="13"/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</row>
    <row r="839" spans="4:19" x14ac:dyDescent="0.3">
      <c r="D839">
        <v>6034014</v>
      </c>
      <c r="F839">
        <f t="shared" si="13"/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</row>
    <row r="840" spans="4:19" x14ac:dyDescent="0.3">
      <c r="D840">
        <v>6038324</v>
      </c>
      <c r="F840">
        <f t="shared" si="13"/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</row>
    <row r="841" spans="4:19" x14ac:dyDescent="0.3">
      <c r="D841">
        <v>6052695</v>
      </c>
      <c r="F841">
        <f t="shared" si="13"/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</row>
    <row r="842" spans="4:19" x14ac:dyDescent="0.3">
      <c r="D842">
        <v>6053959</v>
      </c>
      <c r="F842">
        <f t="shared" si="13"/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</row>
    <row r="843" spans="4:19" x14ac:dyDescent="0.3">
      <c r="D843">
        <v>6056538</v>
      </c>
      <c r="F843">
        <f t="shared" si="13"/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</row>
    <row r="844" spans="4:19" x14ac:dyDescent="0.3">
      <c r="D844">
        <v>6056540</v>
      </c>
      <c r="F844">
        <f t="shared" si="13"/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</row>
    <row r="845" spans="4:19" x14ac:dyDescent="0.3">
      <c r="D845">
        <v>6056558</v>
      </c>
      <c r="F845">
        <f t="shared" si="13"/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</row>
    <row r="846" spans="4:19" x14ac:dyDescent="0.3">
      <c r="D846">
        <v>6056606</v>
      </c>
      <c r="F846">
        <f t="shared" si="13"/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</row>
    <row r="847" spans="4:19" x14ac:dyDescent="0.3">
      <c r="D847">
        <v>6056607</v>
      </c>
      <c r="F847">
        <f t="shared" si="13"/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</row>
    <row r="848" spans="4:19" x14ac:dyDescent="0.3">
      <c r="D848">
        <v>6056871</v>
      </c>
      <c r="F848">
        <f t="shared" si="13"/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</row>
    <row r="849" spans="4:19" x14ac:dyDescent="0.3">
      <c r="D849">
        <v>6057091</v>
      </c>
      <c r="F849">
        <f t="shared" si="13"/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</row>
    <row r="850" spans="4:19" x14ac:dyDescent="0.3">
      <c r="D850">
        <v>6058457</v>
      </c>
      <c r="F850">
        <f t="shared" si="13"/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</row>
    <row r="851" spans="4:19" x14ac:dyDescent="0.3">
      <c r="D851">
        <v>6058460</v>
      </c>
      <c r="F851">
        <f t="shared" si="13"/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</row>
    <row r="852" spans="4:19" x14ac:dyDescent="0.3">
      <c r="D852">
        <v>6059284</v>
      </c>
      <c r="F852">
        <f t="shared" si="13"/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</row>
    <row r="853" spans="4:19" x14ac:dyDescent="0.3">
      <c r="D853">
        <v>6112228</v>
      </c>
      <c r="F853">
        <f t="shared" si="13"/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</row>
    <row r="854" spans="4:19" x14ac:dyDescent="0.3">
      <c r="D854">
        <v>6112229</v>
      </c>
      <c r="F854">
        <f t="shared" si="13"/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</row>
    <row r="855" spans="4:19" x14ac:dyDescent="0.3">
      <c r="D855">
        <v>6112230</v>
      </c>
      <c r="F855">
        <f t="shared" si="13"/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</row>
    <row r="856" spans="4:19" x14ac:dyDescent="0.3">
      <c r="D856">
        <v>6112232</v>
      </c>
      <c r="F856">
        <f t="shared" si="13"/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</row>
    <row r="857" spans="4:19" x14ac:dyDescent="0.3">
      <c r="D857">
        <v>6124058</v>
      </c>
      <c r="F857">
        <f t="shared" si="13"/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</row>
    <row r="858" spans="4:19" x14ac:dyDescent="0.3">
      <c r="D858">
        <v>6128580</v>
      </c>
      <c r="F858">
        <f t="shared" si="13"/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</row>
    <row r="859" spans="4:19" x14ac:dyDescent="0.3">
      <c r="D859">
        <v>6152221</v>
      </c>
      <c r="F859">
        <f t="shared" si="13"/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</row>
    <row r="860" spans="4:19" x14ac:dyDescent="0.3">
      <c r="D860">
        <v>6152282</v>
      </c>
      <c r="F860">
        <f t="shared" si="13"/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</row>
    <row r="861" spans="4:19" x14ac:dyDescent="0.3">
      <c r="D861">
        <v>6152344</v>
      </c>
      <c r="F861">
        <f t="shared" si="13"/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</row>
    <row r="862" spans="4:19" x14ac:dyDescent="0.3">
      <c r="D862">
        <v>6152480</v>
      </c>
      <c r="F862">
        <f t="shared" si="13"/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</row>
    <row r="863" spans="4:19" x14ac:dyDescent="0.3">
      <c r="D863">
        <v>6152626</v>
      </c>
      <c r="F863">
        <f t="shared" si="13"/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</row>
    <row r="864" spans="4:19" x14ac:dyDescent="0.3">
      <c r="D864">
        <v>6152824</v>
      </c>
      <c r="F864">
        <f t="shared" si="13"/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</row>
    <row r="865" spans="4:19" x14ac:dyDescent="0.3">
      <c r="D865">
        <v>6162939</v>
      </c>
      <c r="F865">
        <f t="shared" si="13"/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</row>
    <row r="866" spans="4:19" x14ac:dyDescent="0.3">
      <c r="D866">
        <v>6204260</v>
      </c>
      <c r="F866">
        <f t="shared" si="13"/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</row>
    <row r="867" spans="4:19" x14ac:dyDescent="0.3">
      <c r="D867">
        <v>6402750</v>
      </c>
      <c r="F867">
        <f t="shared" si="13"/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</row>
    <row r="868" spans="4:19" x14ac:dyDescent="0.3">
      <c r="D868">
        <v>6502360</v>
      </c>
      <c r="F868">
        <f t="shared" si="13"/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</row>
    <row r="869" spans="4:19" x14ac:dyDescent="0.3">
      <c r="D869">
        <v>6502566</v>
      </c>
      <c r="F869">
        <f t="shared" si="13"/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</row>
    <row r="870" spans="4:19" x14ac:dyDescent="0.3">
      <c r="D870">
        <v>6502595</v>
      </c>
      <c r="F870">
        <f t="shared" si="13"/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</row>
    <row r="871" spans="4:19" x14ac:dyDescent="0.3">
      <c r="D871">
        <v>6503585</v>
      </c>
      <c r="F871">
        <f t="shared" si="13"/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</row>
    <row r="872" spans="4:19" x14ac:dyDescent="0.3">
      <c r="D872">
        <v>6503837</v>
      </c>
      <c r="F872">
        <f t="shared" si="13"/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</row>
    <row r="873" spans="4:19" x14ac:dyDescent="0.3">
      <c r="D873">
        <v>6503838</v>
      </c>
      <c r="F873">
        <f t="shared" si="13"/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</row>
    <row r="874" spans="4:19" x14ac:dyDescent="0.3">
      <c r="D874">
        <v>6504858</v>
      </c>
      <c r="F874">
        <f t="shared" si="13"/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</row>
    <row r="875" spans="4:19" x14ac:dyDescent="0.3">
      <c r="D875">
        <v>6505809</v>
      </c>
      <c r="F875">
        <f t="shared" si="13"/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</row>
    <row r="876" spans="4:19" x14ac:dyDescent="0.3">
      <c r="D876">
        <v>6824216</v>
      </c>
      <c r="F876">
        <f t="shared" si="13"/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</row>
    <row r="877" spans="4:19" x14ac:dyDescent="0.3">
      <c r="D877">
        <v>6824223</v>
      </c>
      <c r="F877">
        <f t="shared" si="13"/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</row>
    <row r="878" spans="4:19" x14ac:dyDescent="0.3">
      <c r="D878">
        <v>6824269</v>
      </c>
      <c r="F878">
        <f t="shared" si="13"/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</row>
    <row r="879" spans="4:19" x14ac:dyDescent="0.3">
      <c r="D879">
        <v>6824518</v>
      </c>
      <c r="F879">
        <f t="shared" si="13"/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</row>
    <row r="880" spans="4:19" x14ac:dyDescent="0.3">
      <c r="D880">
        <v>6825013</v>
      </c>
      <c r="F880">
        <f t="shared" si="13"/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</row>
    <row r="881" spans="4:19" x14ac:dyDescent="0.3">
      <c r="D881">
        <v>6828441</v>
      </c>
      <c r="F881">
        <f t="shared" si="13"/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</row>
    <row r="882" spans="4:19" x14ac:dyDescent="0.3">
      <c r="D882" t="s">
        <v>30</v>
      </c>
      <c r="F882">
        <f t="shared" si="13"/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</row>
    <row r="883" spans="4:19" x14ac:dyDescent="0.3">
      <c r="D883" t="s">
        <v>31</v>
      </c>
      <c r="F883">
        <f t="shared" si="13"/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</row>
    <row r="884" spans="4:19" x14ac:dyDescent="0.3">
      <c r="D884">
        <v>7849</v>
      </c>
      <c r="F884">
        <f t="shared" si="13"/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</row>
    <row r="885" spans="4:19" x14ac:dyDescent="0.3">
      <c r="D885">
        <v>2691270</v>
      </c>
      <c r="F885">
        <f t="shared" si="13"/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</row>
    <row r="886" spans="4:19" x14ac:dyDescent="0.3">
      <c r="D886">
        <v>5307026</v>
      </c>
      <c r="F886">
        <f t="shared" si="13"/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</row>
    <row r="887" spans="4:19" x14ac:dyDescent="0.3">
      <c r="D887">
        <v>5307753</v>
      </c>
      <c r="F887">
        <f t="shared" si="13"/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</row>
    <row r="888" spans="4:19" x14ac:dyDescent="0.3">
      <c r="D888" t="s">
        <v>36</v>
      </c>
      <c r="F888">
        <f t="shared" si="13"/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</row>
    <row r="889" spans="4:19" x14ac:dyDescent="0.3">
      <c r="D889">
        <v>5500142</v>
      </c>
      <c r="F889">
        <f t="shared" si="13"/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</row>
    <row r="890" spans="4:19" x14ac:dyDescent="0.3">
      <c r="D890">
        <v>5502831</v>
      </c>
      <c r="F890">
        <f t="shared" si="13"/>
        <v>8</v>
      </c>
      <c r="N890">
        <v>8</v>
      </c>
      <c r="O890">
        <v>0</v>
      </c>
      <c r="P890">
        <v>0</v>
      </c>
      <c r="Q890">
        <v>0</v>
      </c>
      <c r="R890">
        <v>0</v>
      </c>
      <c r="S890">
        <v>0</v>
      </c>
    </row>
    <row r="891" spans="4:19" x14ac:dyDescent="0.3">
      <c r="D891">
        <v>5504116</v>
      </c>
      <c r="F891">
        <f t="shared" si="13"/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</row>
    <row r="892" spans="4:19" x14ac:dyDescent="0.3">
      <c r="D892">
        <v>5704865</v>
      </c>
      <c r="F892">
        <f t="shared" si="13"/>
        <v>9</v>
      </c>
      <c r="N892">
        <v>9</v>
      </c>
      <c r="O892">
        <v>0</v>
      </c>
      <c r="P892">
        <v>0</v>
      </c>
      <c r="Q892">
        <v>0</v>
      </c>
      <c r="R892">
        <v>0</v>
      </c>
      <c r="S892">
        <v>0</v>
      </c>
    </row>
    <row r="893" spans="4:19" x14ac:dyDescent="0.3">
      <c r="D893">
        <v>5811035</v>
      </c>
      <c r="F893">
        <f t="shared" si="13"/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</row>
    <row r="894" spans="4:19" x14ac:dyDescent="0.3">
      <c r="D894">
        <v>5812312</v>
      </c>
      <c r="F894">
        <f t="shared" si="13"/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</row>
    <row r="895" spans="4:19" x14ac:dyDescent="0.3">
      <c r="D895">
        <v>5817307</v>
      </c>
      <c r="F895">
        <f t="shared" si="13"/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</row>
    <row r="896" spans="4:19" x14ac:dyDescent="0.3">
      <c r="D896">
        <v>5817939</v>
      </c>
      <c r="F896">
        <f t="shared" si="13"/>
        <v>1</v>
      </c>
      <c r="N896">
        <v>1</v>
      </c>
      <c r="O896">
        <v>0</v>
      </c>
      <c r="P896">
        <v>0</v>
      </c>
      <c r="Q896">
        <v>0</v>
      </c>
      <c r="R896">
        <v>0</v>
      </c>
      <c r="S896">
        <v>0</v>
      </c>
    </row>
    <row r="897" spans="4:19" x14ac:dyDescent="0.3">
      <c r="D897" t="s">
        <v>7</v>
      </c>
      <c r="F897">
        <f t="shared" si="13"/>
        <v>3</v>
      </c>
      <c r="N897">
        <v>3</v>
      </c>
      <c r="O897">
        <v>0</v>
      </c>
      <c r="P897">
        <v>0</v>
      </c>
      <c r="Q897">
        <v>0</v>
      </c>
      <c r="R897">
        <v>0</v>
      </c>
      <c r="S897">
        <v>0</v>
      </c>
    </row>
    <row r="898" spans="4:19" x14ac:dyDescent="0.3">
      <c r="D898" t="s">
        <v>21</v>
      </c>
      <c r="F898">
        <f t="shared" si="13"/>
        <v>2</v>
      </c>
      <c r="N898">
        <v>2</v>
      </c>
      <c r="O898">
        <v>0</v>
      </c>
      <c r="P898">
        <v>0</v>
      </c>
      <c r="Q898">
        <v>0</v>
      </c>
      <c r="R898">
        <v>0</v>
      </c>
      <c r="S898">
        <v>0</v>
      </c>
    </row>
    <row r="899" spans="4:19" x14ac:dyDescent="0.3">
      <c r="D899" t="s">
        <v>170</v>
      </c>
      <c r="F899">
        <f t="shared" ref="F899:F962" si="14">SUMIF(N899:S899,"&gt;=0")</f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</row>
    <row r="900" spans="4:19" x14ac:dyDescent="0.3">
      <c r="D900" t="s">
        <v>178</v>
      </c>
      <c r="F900">
        <f t="shared" si="14"/>
        <v>1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0</v>
      </c>
    </row>
    <row r="901" spans="4:19" x14ac:dyDescent="0.3">
      <c r="D901">
        <v>5935581</v>
      </c>
      <c r="F901">
        <f t="shared" si="14"/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</row>
    <row r="902" spans="4:19" x14ac:dyDescent="0.3">
      <c r="D902">
        <v>5942149</v>
      </c>
      <c r="F902">
        <f t="shared" si="14"/>
        <v>2</v>
      </c>
      <c r="N902">
        <v>2</v>
      </c>
      <c r="O902">
        <v>0</v>
      </c>
      <c r="P902">
        <v>0</v>
      </c>
      <c r="Q902">
        <v>0</v>
      </c>
      <c r="R902">
        <v>0</v>
      </c>
      <c r="S902">
        <v>0</v>
      </c>
    </row>
    <row r="903" spans="4:19" x14ac:dyDescent="0.3">
      <c r="D903">
        <v>6004256</v>
      </c>
      <c r="F903">
        <f t="shared" si="14"/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</row>
    <row r="904" spans="4:19" x14ac:dyDescent="0.3">
      <c r="D904">
        <v>6004317</v>
      </c>
      <c r="F904">
        <f t="shared" si="14"/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</row>
    <row r="905" spans="4:19" x14ac:dyDescent="0.3">
      <c r="D905">
        <v>6016122</v>
      </c>
      <c r="F905">
        <f t="shared" si="14"/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</row>
    <row r="906" spans="4:19" x14ac:dyDescent="0.3">
      <c r="D906" t="s">
        <v>184</v>
      </c>
      <c r="F906">
        <f t="shared" si="14"/>
        <v>91</v>
      </c>
      <c r="N906">
        <v>91</v>
      </c>
      <c r="O906">
        <v>0</v>
      </c>
      <c r="P906">
        <v>0</v>
      </c>
      <c r="Q906">
        <v>0</v>
      </c>
      <c r="R906">
        <v>0</v>
      </c>
      <c r="S906">
        <v>0</v>
      </c>
    </row>
    <row r="907" spans="4:19" x14ac:dyDescent="0.3">
      <c r="D907" s="80">
        <v>6.0099999999999998E+307</v>
      </c>
      <c r="F907">
        <f t="shared" si="14"/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</row>
    <row r="908" spans="4:19" x14ac:dyDescent="0.3">
      <c r="D908">
        <v>6043711</v>
      </c>
      <c r="F908">
        <f t="shared" si="14"/>
        <v>4</v>
      </c>
      <c r="N908">
        <v>4</v>
      </c>
      <c r="O908">
        <v>0</v>
      </c>
      <c r="P908">
        <v>0</v>
      </c>
      <c r="Q908">
        <v>0</v>
      </c>
      <c r="R908">
        <v>0</v>
      </c>
      <c r="S908">
        <v>0</v>
      </c>
    </row>
    <row r="909" spans="4:19" x14ac:dyDescent="0.3">
      <c r="D909">
        <v>6044233</v>
      </c>
      <c r="F909">
        <f t="shared" si="14"/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</row>
    <row r="910" spans="4:19" x14ac:dyDescent="0.3">
      <c r="D910">
        <v>6044234</v>
      </c>
      <c r="F910">
        <f t="shared" si="14"/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</row>
    <row r="911" spans="4:19" x14ac:dyDescent="0.3">
      <c r="D911">
        <v>6044401</v>
      </c>
      <c r="F911">
        <f t="shared" si="14"/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</row>
    <row r="912" spans="4:19" x14ac:dyDescent="0.3">
      <c r="D912">
        <v>6044406</v>
      </c>
      <c r="F912">
        <f t="shared" si="14"/>
        <v>1</v>
      </c>
      <c r="N912">
        <v>1</v>
      </c>
      <c r="O912">
        <v>0</v>
      </c>
      <c r="P912">
        <v>0</v>
      </c>
      <c r="Q912">
        <v>0</v>
      </c>
      <c r="R912">
        <v>0</v>
      </c>
      <c r="S912">
        <v>0</v>
      </c>
    </row>
    <row r="913" spans="4:19" x14ac:dyDescent="0.3">
      <c r="D913">
        <v>6044994</v>
      </c>
      <c r="F913">
        <f t="shared" si="14"/>
        <v>50</v>
      </c>
      <c r="N913">
        <v>50</v>
      </c>
      <c r="O913">
        <v>0</v>
      </c>
      <c r="P913">
        <v>0</v>
      </c>
      <c r="Q913">
        <v>0</v>
      </c>
      <c r="R913">
        <v>0</v>
      </c>
      <c r="S913">
        <v>0</v>
      </c>
    </row>
    <row r="914" spans="4:19" x14ac:dyDescent="0.3">
      <c r="D914">
        <v>6045475</v>
      </c>
      <c r="F914">
        <f t="shared" si="14"/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</row>
    <row r="915" spans="4:19" x14ac:dyDescent="0.3">
      <c r="D915">
        <v>6052949</v>
      </c>
      <c r="F915">
        <f t="shared" si="14"/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</row>
    <row r="916" spans="4:19" x14ac:dyDescent="0.3">
      <c r="D916">
        <v>6053988</v>
      </c>
      <c r="F916">
        <f t="shared" si="14"/>
        <v>1</v>
      </c>
      <c r="N916">
        <v>1</v>
      </c>
      <c r="O916">
        <v>0</v>
      </c>
      <c r="P916">
        <v>0</v>
      </c>
      <c r="Q916">
        <v>0</v>
      </c>
      <c r="R916">
        <v>0</v>
      </c>
      <c r="S916">
        <v>0</v>
      </c>
    </row>
    <row r="917" spans="4:19" x14ac:dyDescent="0.3">
      <c r="D917">
        <v>6054396</v>
      </c>
      <c r="F917">
        <f t="shared" si="14"/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</row>
    <row r="918" spans="4:19" x14ac:dyDescent="0.3">
      <c r="D918">
        <v>6055186</v>
      </c>
      <c r="F918">
        <f t="shared" si="14"/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</row>
    <row r="919" spans="4:19" x14ac:dyDescent="0.3">
      <c r="D919">
        <v>6055520</v>
      </c>
      <c r="F919">
        <f t="shared" si="14"/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</row>
    <row r="920" spans="4:19" x14ac:dyDescent="0.3">
      <c r="D920">
        <v>6056186</v>
      </c>
      <c r="F920">
        <f t="shared" si="14"/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</row>
    <row r="921" spans="4:19" x14ac:dyDescent="0.3">
      <c r="D921">
        <v>6056283</v>
      </c>
      <c r="F921">
        <f t="shared" si="14"/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</row>
    <row r="922" spans="4:19" x14ac:dyDescent="0.3">
      <c r="D922">
        <v>6056454</v>
      </c>
      <c r="F922">
        <f t="shared" si="14"/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</row>
    <row r="923" spans="4:19" x14ac:dyDescent="0.3">
      <c r="D923">
        <v>6056455</v>
      </c>
      <c r="F923">
        <f t="shared" si="14"/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</row>
    <row r="924" spans="4:19" x14ac:dyDescent="0.3">
      <c r="D924">
        <v>6056639</v>
      </c>
      <c r="F924">
        <f t="shared" si="14"/>
        <v>9</v>
      </c>
      <c r="N924">
        <v>9</v>
      </c>
      <c r="O924">
        <v>0</v>
      </c>
      <c r="P924">
        <v>0</v>
      </c>
      <c r="Q924">
        <v>0</v>
      </c>
      <c r="R924">
        <v>0</v>
      </c>
      <c r="S924">
        <v>0</v>
      </c>
    </row>
    <row r="925" spans="4:19" x14ac:dyDescent="0.3">
      <c r="D925">
        <v>6056747</v>
      </c>
      <c r="F925">
        <f t="shared" si="14"/>
        <v>9</v>
      </c>
      <c r="N925">
        <v>9</v>
      </c>
      <c r="O925">
        <v>0</v>
      </c>
      <c r="P925">
        <v>0</v>
      </c>
      <c r="Q925">
        <v>0</v>
      </c>
      <c r="R925">
        <v>0</v>
      </c>
      <c r="S925">
        <v>0</v>
      </c>
    </row>
    <row r="926" spans="4:19" x14ac:dyDescent="0.3">
      <c r="D926">
        <v>6056910</v>
      </c>
      <c r="F926">
        <f t="shared" si="14"/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</row>
    <row r="927" spans="4:19" x14ac:dyDescent="0.3">
      <c r="D927">
        <v>6056978</v>
      </c>
      <c r="F927">
        <f t="shared" si="14"/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</row>
    <row r="928" spans="4:19" x14ac:dyDescent="0.3">
      <c r="D928">
        <v>6056986</v>
      </c>
      <c r="F928">
        <f t="shared" si="14"/>
        <v>2</v>
      </c>
      <c r="N928">
        <v>2</v>
      </c>
      <c r="O928">
        <v>0</v>
      </c>
      <c r="P928">
        <v>0</v>
      </c>
      <c r="Q928">
        <v>0</v>
      </c>
      <c r="R928">
        <v>0</v>
      </c>
      <c r="S928">
        <v>0</v>
      </c>
    </row>
    <row r="929" spans="4:19" x14ac:dyDescent="0.3">
      <c r="D929">
        <v>6056987</v>
      </c>
      <c r="F929">
        <f t="shared" si="14"/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</row>
    <row r="930" spans="4:19" x14ac:dyDescent="0.3">
      <c r="D930">
        <v>6056990</v>
      </c>
      <c r="F930">
        <f t="shared" si="14"/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</row>
    <row r="931" spans="4:19" x14ac:dyDescent="0.3">
      <c r="D931">
        <v>6056996</v>
      </c>
      <c r="F931">
        <f t="shared" si="14"/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</row>
    <row r="932" spans="4:19" x14ac:dyDescent="0.3">
      <c r="D932">
        <v>6057013</v>
      </c>
      <c r="F932">
        <f t="shared" si="14"/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</row>
    <row r="933" spans="4:19" x14ac:dyDescent="0.3">
      <c r="D933">
        <v>6057100</v>
      </c>
      <c r="F933">
        <f t="shared" si="14"/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</row>
    <row r="934" spans="4:19" x14ac:dyDescent="0.3">
      <c r="D934">
        <v>6057101</v>
      </c>
      <c r="F934">
        <f t="shared" si="14"/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</row>
    <row r="935" spans="4:19" x14ac:dyDescent="0.3">
      <c r="D935">
        <v>6058569</v>
      </c>
      <c r="F935">
        <f t="shared" si="14"/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</row>
    <row r="936" spans="4:19" x14ac:dyDescent="0.3">
      <c r="D936">
        <v>6059918</v>
      </c>
      <c r="F936">
        <f t="shared" si="14"/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</row>
    <row r="937" spans="4:19" x14ac:dyDescent="0.3">
      <c r="D937">
        <v>6124063</v>
      </c>
      <c r="F937">
        <f t="shared" si="14"/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</row>
    <row r="938" spans="4:19" x14ac:dyDescent="0.3">
      <c r="D938">
        <v>6124265</v>
      </c>
      <c r="F938">
        <f t="shared" si="14"/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</row>
    <row r="939" spans="4:19" x14ac:dyDescent="0.3">
      <c r="D939">
        <v>6124299</v>
      </c>
      <c r="F939">
        <f t="shared" si="14"/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</row>
    <row r="940" spans="4:19" x14ac:dyDescent="0.3">
      <c r="D940">
        <v>6125032</v>
      </c>
      <c r="F940">
        <f t="shared" si="14"/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</row>
    <row r="941" spans="4:19" x14ac:dyDescent="0.3">
      <c r="D941">
        <v>6125033</v>
      </c>
      <c r="F941">
        <f t="shared" si="14"/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</row>
    <row r="942" spans="4:19" x14ac:dyDescent="0.3">
      <c r="D942">
        <v>6128580</v>
      </c>
      <c r="F942">
        <f t="shared" si="14"/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</row>
    <row r="943" spans="4:19" x14ac:dyDescent="0.3">
      <c r="D943">
        <v>6128679</v>
      </c>
      <c r="F943">
        <f t="shared" si="14"/>
        <v>1</v>
      </c>
      <c r="N943">
        <v>1</v>
      </c>
      <c r="O943">
        <v>0</v>
      </c>
      <c r="P943">
        <v>0</v>
      </c>
      <c r="Q943">
        <v>0</v>
      </c>
      <c r="R943">
        <v>0</v>
      </c>
      <c r="S943">
        <v>0</v>
      </c>
    </row>
    <row r="944" spans="4:19" x14ac:dyDescent="0.3">
      <c r="D944">
        <v>6144110</v>
      </c>
      <c r="F944">
        <f t="shared" si="14"/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</row>
    <row r="945" spans="4:19" x14ac:dyDescent="0.3">
      <c r="D945">
        <v>6144111</v>
      </c>
      <c r="F945">
        <f t="shared" si="14"/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</row>
    <row r="946" spans="4:19" x14ac:dyDescent="0.3">
      <c r="D946">
        <v>6150330</v>
      </c>
      <c r="F946">
        <f t="shared" si="14"/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</row>
    <row r="947" spans="4:19" x14ac:dyDescent="0.3">
      <c r="D947">
        <v>6150332</v>
      </c>
      <c r="F947">
        <f t="shared" si="14"/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</row>
    <row r="948" spans="4:19" x14ac:dyDescent="0.3">
      <c r="D948">
        <v>6152643</v>
      </c>
      <c r="F948">
        <f t="shared" si="14"/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</row>
    <row r="949" spans="4:19" x14ac:dyDescent="0.3">
      <c r="D949">
        <v>6154732</v>
      </c>
      <c r="F949">
        <f t="shared" si="14"/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</row>
    <row r="950" spans="4:19" x14ac:dyDescent="0.3">
      <c r="D950">
        <v>6154749</v>
      </c>
      <c r="F950">
        <f t="shared" si="14"/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</row>
    <row r="951" spans="4:19" x14ac:dyDescent="0.3">
      <c r="D951">
        <v>6154750</v>
      </c>
      <c r="F951">
        <f t="shared" si="14"/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</row>
    <row r="952" spans="4:19" x14ac:dyDescent="0.3">
      <c r="D952">
        <v>6154754</v>
      </c>
      <c r="F952">
        <f t="shared" si="14"/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</row>
    <row r="953" spans="4:19" x14ac:dyDescent="0.3">
      <c r="D953">
        <v>6159116</v>
      </c>
      <c r="F953">
        <f t="shared" si="14"/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</row>
    <row r="954" spans="4:19" x14ac:dyDescent="0.3">
      <c r="D954">
        <v>6163112</v>
      </c>
      <c r="F954">
        <f t="shared" si="14"/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</row>
    <row r="955" spans="4:19" x14ac:dyDescent="0.3">
      <c r="D955">
        <v>6163187</v>
      </c>
      <c r="F955">
        <f t="shared" si="14"/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</row>
    <row r="956" spans="4:19" x14ac:dyDescent="0.3">
      <c r="D956">
        <v>6163275</v>
      </c>
      <c r="F956">
        <f t="shared" si="14"/>
        <v>8</v>
      </c>
      <c r="N956">
        <v>8</v>
      </c>
      <c r="O956">
        <v>0</v>
      </c>
      <c r="P956">
        <v>0</v>
      </c>
      <c r="Q956">
        <v>0</v>
      </c>
      <c r="R956">
        <v>0</v>
      </c>
      <c r="S956">
        <v>0</v>
      </c>
    </row>
    <row r="957" spans="4:19" x14ac:dyDescent="0.3">
      <c r="D957">
        <v>6164108</v>
      </c>
      <c r="F957">
        <f t="shared" si="14"/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</row>
    <row r="958" spans="4:19" x14ac:dyDescent="0.3">
      <c r="D958">
        <v>6164109</v>
      </c>
      <c r="F958">
        <f t="shared" si="14"/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</row>
    <row r="959" spans="4:19" x14ac:dyDescent="0.3">
      <c r="D959">
        <v>6164110</v>
      </c>
      <c r="F959">
        <f t="shared" si="14"/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</row>
    <row r="960" spans="4:19" x14ac:dyDescent="0.3">
      <c r="D960">
        <v>6164214</v>
      </c>
      <c r="F960">
        <f t="shared" si="14"/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</row>
    <row r="961" spans="4:19" x14ac:dyDescent="0.3">
      <c r="D961">
        <v>6164228</v>
      </c>
      <c r="F961">
        <f t="shared" si="14"/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</row>
    <row r="962" spans="4:19" x14ac:dyDescent="0.3">
      <c r="D962">
        <v>6164235</v>
      </c>
      <c r="F962">
        <f t="shared" si="14"/>
        <v>1</v>
      </c>
      <c r="N962">
        <v>1</v>
      </c>
      <c r="O962">
        <v>0</v>
      </c>
      <c r="P962">
        <v>0</v>
      </c>
      <c r="Q962">
        <v>0</v>
      </c>
      <c r="R962">
        <v>0</v>
      </c>
      <c r="S962">
        <v>0</v>
      </c>
    </row>
    <row r="963" spans="4:19" x14ac:dyDescent="0.3">
      <c r="D963">
        <v>6164239</v>
      </c>
      <c r="F963">
        <f t="shared" ref="F963:F1026" si="15">SUMIF(N963:S963,"&gt;=0")</f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</row>
    <row r="964" spans="4:19" x14ac:dyDescent="0.3">
      <c r="D964">
        <v>6180031</v>
      </c>
      <c r="F964">
        <f t="shared" si="15"/>
        <v>4</v>
      </c>
      <c r="N964">
        <v>4</v>
      </c>
      <c r="O964">
        <v>0</v>
      </c>
      <c r="P964">
        <v>0</v>
      </c>
      <c r="Q964">
        <v>0</v>
      </c>
      <c r="R964">
        <v>0</v>
      </c>
      <c r="S964">
        <v>0</v>
      </c>
    </row>
    <row r="965" spans="4:19" x14ac:dyDescent="0.3">
      <c r="D965">
        <v>6198354</v>
      </c>
      <c r="F965">
        <f t="shared" si="15"/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</row>
    <row r="966" spans="4:19" x14ac:dyDescent="0.3">
      <c r="D966">
        <v>6282638</v>
      </c>
      <c r="F966">
        <f t="shared" si="15"/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</row>
    <row r="967" spans="4:19" x14ac:dyDescent="0.3">
      <c r="D967">
        <v>6282886</v>
      </c>
      <c r="F967">
        <f t="shared" si="15"/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</row>
    <row r="968" spans="4:19" x14ac:dyDescent="0.3">
      <c r="D968">
        <v>6284311</v>
      </c>
      <c r="F968">
        <f t="shared" si="15"/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</row>
    <row r="969" spans="4:19" x14ac:dyDescent="0.3">
      <c r="D969">
        <v>6284312</v>
      </c>
      <c r="F969">
        <f t="shared" si="15"/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</row>
    <row r="970" spans="4:19" x14ac:dyDescent="0.3">
      <c r="D970">
        <v>6284340</v>
      </c>
      <c r="F970">
        <f t="shared" si="15"/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</row>
    <row r="971" spans="4:19" x14ac:dyDescent="0.3">
      <c r="D971">
        <v>6404024</v>
      </c>
      <c r="F971">
        <f t="shared" si="15"/>
        <v>57</v>
      </c>
      <c r="N971">
        <v>57</v>
      </c>
      <c r="O971">
        <v>0</v>
      </c>
      <c r="P971">
        <v>0</v>
      </c>
      <c r="Q971">
        <v>0</v>
      </c>
      <c r="R971">
        <v>0</v>
      </c>
      <c r="S971">
        <v>0</v>
      </c>
    </row>
    <row r="972" spans="4:19" x14ac:dyDescent="0.3">
      <c r="D972">
        <v>6404049</v>
      </c>
      <c r="F972">
        <f t="shared" si="15"/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</row>
    <row r="973" spans="4:19" x14ac:dyDescent="0.3">
      <c r="D973">
        <v>6504438</v>
      </c>
      <c r="F973">
        <f t="shared" si="15"/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</row>
    <row r="974" spans="4:19" x14ac:dyDescent="0.3">
      <c r="D974">
        <v>6504684</v>
      </c>
      <c r="F974">
        <f t="shared" si="15"/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</row>
    <row r="975" spans="4:19" x14ac:dyDescent="0.3">
      <c r="D975">
        <v>6505710</v>
      </c>
      <c r="F975">
        <f t="shared" si="15"/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</row>
    <row r="976" spans="4:19" x14ac:dyDescent="0.3">
      <c r="D976">
        <v>6509304</v>
      </c>
      <c r="F976">
        <f t="shared" si="15"/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</row>
    <row r="977" spans="4:19" x14ac:dyDescent="0.3">
      <c r="D977">
        <v>6602397</v>
      </c>
      <c r="F977">
        <f t="shared" si="15"/>
        <v>1</v>
      </c>
      <c r="N977">
        <v>1</v>
      </c>
      <c r="O977">
        <v>0</v>
      </c>
      <c r="P977">
        <v>0</v>
      </c>
      <c r="Q977">
        <v>0</v>
      </c>
      <c r="R977">
        <v>0</v>
      </c>
      <c r="S977">
        <v>0</v>
      </c>
    </row>
    <row r="978" spans="4:19" x14ac:dyDescent="0.3">
      <c r="D978">
        <v>6825109</v>
      </c>
      <c r="F978">
        <f t="shared" si="15"/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</row>
    <row r="979" spans="4:19" x14ac:dyDescent="0.3">
      <c r="D979">
        <v>6825110</v>
      </c>
      <c r="F979">
        <f t="shared" si="15"/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</row>
    <row r="980" spans="4:19" x14ac:dyDescent="0.3">
      <c r="D980">
        <v>6825111</v>
      </c>
      <c r="F980">
        <f t="shared" si="15"/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</row>
    <row r="981" spans="4:19" x14ac:dyDescent="0.3">
      <c r="D981">
        <v>5704587</v>
      </c>
      <c r="F981">
        <f t="shared" si="15"/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</row>
    <row r="982" spans="4:19" x14ac:dyDescent="0.3">
      <c r="D982">
        <v>5704865</v>
      </c>
      <c r="F982">
        <f t="shared" si="15"/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</row>
    <row r="983" spans="4:19" x14ac:dyDescent="0.3">
      <c r="D983">
        <v>5810976</v>
      </c>
      <c r="F983">
        <f t="shared" si="15"/>
        <v>5</v>
      </c>
      <c r="N983">
        <v>5</v>
      </c>
      <c r="O983">
        <v>0</v>
      </c>
      <c r="P983">
        <v>0</v>
      </c>
      <c r="Q983">
        <v>0</v>
      </c>
      <c r="R983">
        <v>0</v>
      </c>
      <c r="S983">
        <v>0</v>
      </c>
    </row>
    <row r="984" spans="4:19" x14ac:dyDescent="0.3">
      <c r="D984">
        <v>5813868</v>
      </c>
      <c r="F984">
        <f t="shared" si="15"/>
        <v>5</v>
      </c>
      <c r="N984">
        <v>5</v>
      </c>
      <c r="O984">
        <v>0</v>
      </c>
      <c r="P984">
        <v>0</v>
      </c>
      <c r="Q984">
        <v>0</v>
      </c>
      <c r="R984">
        <v>0</v>
      </c>
      <c r="S984">
        <v>0</v>
      </c>
    </row>
    <row r="985" spans="4:19" x14ac:dyDescent="0.3">
      <c r="D985">
        <v>5816274</v>
      </c>
      <c r="F985">
        <f t="shared" si="15"/>
        <v>20</v>
      </c>
      <c r="N985">
        <v>20</v>
      </c>
      <c r="O985">
        <v>0</v>
      </c>
      <c r="P985">
        <v>0</v>
      </c>
      <c r="Q985">
        <v>0</v>
      </c>
      <c r="R985">
        <v>0</v>
      </c>
      <c r="S985">
        <v>0</v>
      </c>
    </row>
    <row r="986" spans="4:19" x14ac:dyDescent="0.3">
      <c r="D986" t="s">
        <v>7</v>
      </c>
      <c r="F986">
        <f t="shared" si="15"/>
        <v>1</v>
      </c>
      <c r="N986">
        <v>1</v>
      </c>
      <c r="O986">
        <v>0</v>
      </c>
      <c r="P986">
        <v>0</v>
      </c>
      <c r="Q986">
        <v>0</v>
      </c>
      <c r="R986">
        <v>0</v>
      </c>
      <c r="S986">
        <v>0</v>
      </c>
    </row>
    <row r="987" spans="4:19" x14ac:dyDescent="0.3">
      <c r="D987" t="s">
        <v>169</v>
      </c>
      <c r="F987">
        <f t="shared" si="15"/>
        <v>8</v>
      </c>
      <c r="N987">
        <v>8</v>
      </c>
      <c r="O987">
        <v>0</v>
      </c>
      <c r="P987">
        <v>0</v>
      </c>
      <c r="Q987">
        <v>0</v>
      </c>
      <c r="R987">
        <v>0</v>
      </c>
      <c r="S987">
        <v>0</v>
      </c>
    </row>
    <row r="988" spans="4:19" x14ac:dyDescent="0.3">
      <c r="D988" t="s">
        <v>8</v>
      </c>
      <c r="F988">
        <f t="shared" si="15"/>
        <v>16</v>
      </c>
      <c r="N988">
        <v>16</v>
      </c>
      <c r="O988">
        <v>0</v>
      </c>
      <c r="P988">
        <v>0</v>
      </c>
      <c r="Q988">
        <v>0</v>
      </c>
      <c r="R988">
        <v>0</v>
      </c>
      <c r="S988">
        <v>0</v>
      </c>
    </row>
    <row r="989" spans="4:19" x14ac:dyDescent="0.3">
      <c r="D989" t="s">
        <v>19</v>
      </c>
      <c r="F989">
        <f t="shared" si="15"/>
        <v>2</v>
      </c>
      <c r="N989">
        <v>2</v>
      </c>
      <c r="O989">
        <v>0</v>
      </c>
      <c r="P989">
        <v>0</v>
      </c>
      <c r="Q989">
        <v>0</v>
      </c>
      <c r="R989">
        <v>0</v>
      </c>
      <c r="S989">
        <v>0</v>
      </c>
    </row>
    <row r="990" spans="4:19" x14ac:dyDescent="0.3">
      <c r="D990" t="s">
        <v>20</v>
      </c>
      <c r="F990">
        <f t="shared" si="15"/>
        <v>2</v>
      </c>
      <c r="N990">
        <v>0</v>
      </c>
      <c r="O990">
        <v>2</v>
      </c>
      <c r="P990">
        <v>0</v>
      </c>
      <c r="Q990">
        <v>0</v>
      </c>
      <c r="R990">
        <v>0</v>
      </c>
      <c r="S990">
        <v>0</v>
      </c>
    </row>
    <row r="991" spans="4:19" x14ac:dyDescent="0.3">
      <c r="D991" t="s">
        <v>21</v>
      </c>
      <c r="F991">
        <f t="shared" si="15"/>
        <v>2</v>
      </c>
      <c r="N991">
        <v>2</v>
      </c>
      <c r="O991">
        <v>0</v>
      </c>
      <c r="P991">
        <v>0</v>
      </c>
      <c r="Q991">
        <v>0</v>
      </c>
      <c r="R991">
        <v>0</v>
      </c>
      <c r="S991">
        <v>0</v>
      </c>
    </row>
    <row r="992" spans="4:19" x14ac:dyDescent="0.3">
      <c r="D992" t="s">
        <v>9</v>
      </c>
      <c r="F992">
        <f t="shared" si="15"/>
        <v>5</v>
      </c>
      <c r="N992">
        <v>5</v>
      </c>
      <c r="O992">
        <v>0</v>
      </c>
      <c r="P992">
        <v>0</v>
      </c>
      <c r="Q992">
        <v>0</v>
      </c>
      <c r="R992">
        <v>0</v>
      </c>
      <c r="S992">
        <v>0</v>
      </c>
    </row>
    <row r="993" spans="4:19" x14ac:dyDescent="0.3">
      <c r="D993" t="s">
        <v>10</v>
      </c>
      <c r="F993">
        <f t="shared" si="15"/>
        <v>5</v>
      </c>
      <c r="N993">
        <v>5</v>
      </c>
      <c r="O993">
        <v>0</v>
      </c>
      <c r="P993">
        <v>0</v>
      </c>
      <c r="Q993">
        <v>0</v>
      </c>
      <c r="R993">
        <v>0</v>
      </c>
      <c r="S993">
        <v>0</v>
      </c>
    </row>
    <row r="994" spans="4:19" x14ac:dyDescent="0.3">
      <c r="D994" t="s">
        <v>23</v>
      </c>
      <c r="F994">
        <f t="shared" si="15"/>
        <v>1</v>
      </c>
      <c r="N994">
        <v>1</v>
      </c>
      <c r="O994">
        <v>0</v>
      </c>
      <c r="P994">
        <v>0</v>
      </c>
      <c r="Q994">
        <v>0</v>
      </c>
      <c r="R994">
        <v>0</v>
      </c>
      <c r="S994">
        <v>0</v>
      </c>
    </row>
    <row r="995" spans="4:19" x14ac:dyDescent="0.3">
      <c r="D995">
        <v>6016003</v>
      </c>
      <c r="F995">
        <f t="shared" si="15"/>
        <v>3</v>
      </c>
      <c r="N995">
        <v>3</v>
      </c>
      <c r="O995">
        <v>0</v>
      </c>
      <c r="P995">
        <v>0</v>
      </c>
      <c r="Q995">
        <v>0</v>
      </c>
      <c r="R995">
        <v>0</v>
      </c>
      <c r="S995">
        <v>0</v>
      </c>
    </row>
    <row r="996" spans="4:19" x14ac:dyDescent="0.3">
      <c r="D996">
        <v>6016035</v>
      </c>
      <c r="F996">
        <f t="shared" si="15"/>
        <v>3</v>
      </c>
      <c r="N996">
        <v>3</v>
      </c>
      <c r="O996">
        <v>0</v>
      </c>
      <c r="P996">
        <v>0</v>
      </c>
      <c r="Q996">
        <v>0</v>
      </c>
      <c r="R996">
        <v>0</v>
      </c>
      <c r="S996">
        <v>0</v>
      </c>
    </row>
    <row r="997" spans="4:19" x14ac:dyDescent="0.3">
      <c r="D997">
        <v>6017429</v>
      </c>
      <c r="F997">
        <f t="shared" si="15"/>
        <v>15</v>
      </c>
      <c r="N997">
        <v>15</v>
      </c>
      <c r="O997">
        <v>0</v>
      </c>
      <c r="P997">
        <v>0</v>
      </c>
      <c r="Q997">
        <v>0</v>
      </c>
      <c r="R997">
        <v>0</v>
      </c>
      <c r="S997">
        <v>0</v>
      </c>
    </row>
    <row r="998" spans="4:19" x14ac:dyDescent="0.3">
      <c r="D998">
        <v>6017430</v>
      </c>
      <c r="F998">
        <f t="shared" si="15"/>
        <v>10</v>
      </c>
      <c r="N998">
        <v>10</v>
      </c>
      <c r="O998">
        <v>0</v>
      </c>
      <c r="P998">
        <v>0</v>
      </c>
      <c r="Q998">
        <v>0</v>
      </c>
      <c r="R998">
        <v>0</v>
      </c>
      <c r="S998">
        <v>0</v>
      </c>
    </row>
    <row r="999" spans="4:19" x14ac:dyDescent="0.3">
      <c r="D999">
        <v>6017582</v>
      </c>
      <c r="F999">
        <f t="shared" si="15"/>
        <v>25</v>
      </c>
      <c r="N999">
        <v>25</v>
      </c>
      <c r="O999">
        <v>0</v>
      </c>
      <c r="P999">
        <v>0</v>
      </c>
      <c r="Q999">
        <v>0</v>
      </c>
      <c r="R999">
        <v>0</v>
      </c>
      <c r="S999">
        <v>0</v>
      </c>
    </row>
    <row r="1000" spans="4:19" x14ac:dyDescent="0.3">
      <c r="D1000" t="s">
        <v>15</v>
      </c>
      <c r="F1000">
        <f t="shared" si="15"/>
        <v>10</v>
      </c>
      <c r="N1000">
        <v>10</v>
      </c>
      <c r="O1000">
        <v>0</v>
      </c>
      <c r="P1000">
        <v>0</v>
      </c>
      <c r="Q1000">
        <v>0</v>
      </c>
      <c r="R1000">
        <v>0</v>
      </c>
      <c r="S1000">
        <v>0</v>
      </c>
    </row>
    <row r="1001" spans="4:19" x14ac:dyDescent="0.3">
      <c r="D1001" t="s">
        <v>179</v>
      </c>
      <c r="F1001">
        <f t="shared" si="15"/>
        <v>10</v>
      </c>
      <c r="N1001">
        <v>10</v>
      </c>
      <c r="O1001">
        <v>0</v>
      </c>
      <c r="P1001">
        <v>0</v>
      </c>
      <c r="Q1001">
        <v>0</v>
      </c>
      <c r="R1001">
        <v>0</v>
      </c>
      <c r="S1001">
        <v>0</v>
      </c>
    </row>
    <row r="1002" spans="4:19" x14ac:dyDescent="0.3">
      <c r="D1002" t="s">
        <v>180</v>
      </c>
      <c r="F1002">
        <f t="shared" si="15"/>
        <v>10</v>
      </c>
      <c r="N1002">
        <v>10</v>
      </c>
      <c r="O1002">
        <v>0</v>
      </c>
      <c r="P1002">
        <v>0</v>
      </c>
      <c r="Q1002">
        <v>0</v>
      </c>
      <c r="R1002">
        <v>0</v>
      </c>
      <c r="S1002">
        <v>0</v>
      </c>
    </row>
    <row r="1003" spans="4:19" x14ac:dyDescent="0.3">
      <c r="D1003">
        <v>6024116</v>
      </c>
      <c r="F1003">
        <f t="shared" si="15"/>
        <v>1</v>
      </c>
      <c r="N1003">
        <v>1</v>
      </c>
      <c r="O1003">
        <v>0</v>
      </c>
      <c r="P1003">
        <v>0</v>
      </c>
      <c r="Q1003">
        <v>0</v>
      </c>
      <c r="R1003">
        <v>0</v>
      </c>
      <c r="S1003">
        <v>0</v>
      </c>
    </row>
    <row r="1004" spans="4:19" x14ac:dyDescent="0.3">
      <c r="D1004">
        <v>6024117</v>
      </c>
      <c r="F1004">
        <f t="shared" si="15"/>
        <v>1</v>
      </c>
      <c r="N1004">
        <v>1</v>
      </c>
      <c r="O1004">
        <v>0</v>
      </c>
      <c r="P1004">
        <v>0</v>
      </c>
      <c r="Q1004">
        <v>0</v>
      </c>
      <c r="R1004">
        <v>0</v>
      </c>
      <c r="S1004">
        <v>0</v>
      </c>
    </row>
    <row r="1005" spans="4:19" x14ac:dyDescent="0.3">
      <c r="D1005">
        <v>6032326</v>
      </c>
      <c r="F1005">
        <f t="shared" si="15"/>
        <v>3</v>
      </c>
      <c r="N1005">
        <v>3</v>
      </c>
      <c r="O1005">
        <v>0</v>
      </c>
      <c r="P1005">
        <v>0</v>
      </c>
      <c r="Q1005">
        <v>0</v>
      </c>
      <c r="R1005">
        <v>0</v>
      </c>
      <c r="S1005">
        <v>0</v>
      </c>
    </row>
    <row r="1006" spans="4:19" x14ac:dyDescent="0.3">
      <c r="D1006">
        <v>6032513</v>
      </c>
      <c r="F1006">
        <f t="shared" si="15"/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</row>
    <row r="1007" spans="4:19" x14ac:dyDescent="0.3">
      <c r="D1007">
        <v>6034005</v>
      </c>
      <c r="F1007">
        <f t="shared" si="15"/>
        <v>10</v>
      </c>
      <c r="N1007">
        <v>10</v>
      </c>
      <c r="O1007">
        <v>0</v>
      </c>
      <c r="P1007">
        <v>0</v>
      </c>
      <c r="Q1007">
        <v>0</v>
      </c>
      <c r="R1007">
        <v>0</v>
      </c>
      <c r="S1007">
        <v>0</v>
      </c>
    </row>
    <row r="1008" spans="4:19" x14ac:dyDescent="0.3">
      <c r="D1008">
        <v>6034007</v>
      </c>
      <c r="F1008">
        <f t="shared" si="15"/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</row>
    <row r="1009" spans="4:19" x14ac:dyDescent="0.3">
      <c r="D1009">
        <v>6034014</v>
      </c>
      <c r="F1009">
        <f t="shared" si="15"/>
        <v>1</v>
      </c>
      <c r="N1009">
        <v>1</v>
      </c>
      <c r="O1009">
        <v>0</v>
      </c>
      <c r="P1009">
        <v>0</v>
      </c>
      <c r="Q1009">
        <v>0</v>
      </c>
      <c r="R1009">
        <v>0</v>
      </c>
      <c r="S1009">
        <v>0</v>
      </c>
    </row>
    <row r="1010" spans="4:19" x14ac:dyDescent="0.3">
      <c r="D1010">
        <v>6038324</v>
      </c>
      <c r="F1010">
        <f t="shared" si="15"/>
        <v>8</v>
      </c>
      <c r="N1010">
        <v>8</v>
      </c>
      <c r="O1010">
        <v>0</v>
      </c>
      <c r="P1010">
        <v>0</v>
      </c>
      <c r="Q1010">
        <v>0</v>
      </c>
      <c r="R1010">
        <v>0</v>
      </c>
      <c r="S1010">
        <v>0</v>
      </c>
    </row>
    <row r="1011" spans="4:19" x14ac:dyDescent="0.3">
      <c r="D1011">
        <v>6041030</v>
      </c>
      <c r="F1011">
        <f t="shared" si="15"/>
        <v>8</v>
      </c>
      <c r="N1011">
        <v>8</v>
      </c>
      <c r="O1011">
        <v>0</v>
      </c>
      <c r="P1011">
        <v>0</v>
      </c>
      <c r="Q1011">
        <v>0</v>
      </c>
      <c r="R1011">
        <v>0</v>
      </c>
      <c r="S1011">
        <v>0</v>
      </c>
    </row>
    <row r="1012" spans="4:19" x14ac:dyDescent="0.3">
      <c r="D1012">
        <v>6041222</v>
      </c>
      <c r="F1012">
        <f t="shared" si="15"/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</row>
    <row r="1013" spans="4:19" x14ac:dyDescent="0.3">
      <c r="D1013">
        <v>6043711</v>
      </c>
      <c r="F1013">
        <f t="shared" si="15"/>
        <v>2</v>
      </c>
      <c r="N1013">
        <v>2</v>
      </c>
      <c r="O1013">
        <v>0</v>
      </c>
      <c r="P1013">
        <v>0</v>
      </c>
      <c r="Q1013">
        <v>0</v>
      </c>
      <c r="R1013">
        <v>0</v>
      </c>
      <c r="S1013">
        <v>0</v>
      </c>
    </row>
    <row r="1014" spans="4:19" x14ac:dyDescent="0.3">
      <c r="D1014">
        <v>6043735</v>
      </c>
      <c r="F1014">
        <f t="shared" si="15"/>
        <v>10</v>
      </c>
      <c r="N1014">
        <v>10</v>
      </c>
      <c r="O1014">
        <v>0</v>
      </c>
      <c r="P1014">
        <v>0</v>
      </c>
      <c r="Q1014">
        <v>0</v>
      </c>
      <c r="R1014">
        <v>0</v>
      </c>
      <c r="S1014">
        <v>0</v>
      </c>
    </row>
    <row r="1015" spans="4:19" x14ac:dyDescent="0.3">
      <c r="D1015">
        <v>6044382</v>
      </c>
      <c r="F1015">
        <f t="shared" si="15"/>
        <v>20</v>
      </c>
      <c r="N1015">
        <v>20</v>
      </c>
      <c r="O1015">
        <v>0</v>
      </c>
      <c r="P1015">
        <v>0</v>
      </c>
      <c r="Q1015">
        <v>0</v>
      </c>
      <c r="R1015">
        <v>0</v>
      </c>
      <c r="S1015">
        <v>0</v>
      </c>
    </row>
    <row r="1016" spans="4:19" x14ac:dyDescent="0.3">
      <c r="D1016">
        <v>6044406</v>
      </c>
      <c r="F1016">
        <f t="shared" si="15"/>
        <v>5</v>
      </c>
      <c r="N1016">
        <v>5</v>
      </c>
      <c r="O1016">
        <v>0</v>
      </c>
      <c r="P1016">
        <v>0</v>
      </c>
      <c r="Q1016">
        <v>0</v>
      </c>
      <c r="R1016">
        <v>0</v>
      </c>
      <c r="S1016">
        <v>0</v>
      </c>
    </row>
    <row r="1017" spans="4:19" x14ac:dyDescent="0.3">
      <c r="D1017">
        <v>6045459</v>
      </c>
      <c r="F1017">
        <f t="shared" si="15"/>
        <v>1</v>
      </c>
      <c r="N1017">
        <v>1</v>
      </c>
      <c r="O1017">
        <v>0</v>
      </c>
      <c r="P1017">
        <v>0</v>
      </c>
      <c r="Q1017">
        <v>0</v>
      </c>
      <c r="R1017">
        <v>0</v>
      </c>
      <c r="S1017">
        <v>0</v>
      </c>
    </row>
    <row r="1018" spans="4:19" x14ac:dyDescent="0.3">
      <c r="D1018">
        <v>6045639</v>
      </c>
      <c r="F1018">
        <f t="shared" si="15"/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</row>
    <row r="1019" spans="4:19" x14ac:dyDescent="0.3">
      <c r="D1019">
        <v>6048641</v>
      </c>
      <c r="F1019">
        <f t="shared" si="15"/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</row>
    <row r="1020" spans="4:19" x14ac:dyDescent="0.3">
      <c r="D1020">
        <v>6048700</v>
      </c>
      <c r="F1020">
        <f t="shared" si="15"/>
        <v>3</v>
      </c>
      <c r="N1020">
        <v>3</v>
      </c>
      <c r="O1020">
        <v>0</v>
      </c>
      <c r="P1020">
        <v>0</v>
      </c>
      <c r="Q1020">
        <v>0</v>
      </c>
      <c r="R1020">
        <v>0</v>
      </c>
      <c r="S1020">
        <v>0</v>
      </c>
    </row>
    <row r="1021" spans="4:19" x14ac:dyDescent="0.3">
      <c r="D1021">
        <v>6051178</v>
      </c>
      <c r="F1021">
        <f t="shared" si="15"/>
        <v>100</v>
      </c>
      <c r="N1021">
        <v>100</v>
      </c>
      <c r="O1021">
        <v>0</v>
      </c>
      <c r="P1021">
        <v>0</v>
      </c>
      <c r="Q1021">
        <v>0</v>
      </c>
      <c r="R1021">
        <v>0</v>
      </c>
      <c r="S1021">
        <v>0</v>
      </c>
    </row>
    <row r="1022" spans="4:19" x14ac:dyDescent="0.3">
      <c r="D1022">
        <v>6055349</v>
      </c>
      <c r="F1022">
        <f t="shared" si="15"/>
        <v>50</v>
      </c>
      <c r="N1022">
        <v>50</v>
      </c>
      <c r="O1022">
        <v>0</v>
      </c>
      <c r="P1022">
        <v>0</v>
      </c>
      <c r="Q1022">
        <v>0</v>
      </c>
      <c r="R1022">
        <v>0</v>
      </c>
      <c r="S1022">
        <v>0</v>
      </c>
    </row>
    <row r="1023" spans="4:19" x14ac:dyDescent="0.3">
      <c r="D1023">
        <v>6056185</v>
      </c>
      <c r="F1023">
        <f t="shared" si="15"/>
        <v>5</v>
      </c>
      <c r="N1023">
        <v>5</v>
      </c>
      <c r="O1023">
        <v>0</v>
      </c>
      <c r="P1023">
        <v>0</v>
      </c>
      <c r="Q1023">
        <v>0</v>
      </c>
      <c r="R1023">
        <v>0</v>
      </c>
      <c r="S1023">
        <v>0</v>
      </c>
    </row>
    <row r="1024" spans="4:19" x14ac:dyDescent="0.3">
      <c r="D1024">
        <v>6056186</v>
      </c>
      <c r="F1024">
        <f t="shared" si="15"/>
        <v>1</v>
      </c>
      <c r="N1024">
        <v>1</v>
      </c>
      <c r="O1024">
        <v>0</v>
      </c>
      <c r="P1024">
        <v>0</v>
      </c>
      <c r="Q1024">
        <v>0</v>
      </c>
      <c r="R1024">
        <v>0</v>
      </c>
      <c r="S1024">
        <v>0</v>
      </c>
    </row>
    <row r="1025" spans="4:19" x14ac:dyDescent="0.3">
      <c r="D1025">
        <v>6056454</v>
      </c>
      <c r="F1025">
        <f t="shared" si="15"/>
        <v>1</v>
      </c>
      <c r="N1025">
        <v>1</v>
      </c>
      <c r="O1025">
        <v>0</v>
      </c>
      <c r="P1025">
        <v>0</v>
      </c>
      <c r="Q1025">
        <v>0</v>
      </c>
      <c r="R1025">
        <v>0</v>
      </c>
      <c r="S1025">
        <v>0</v>
      </c>
    </row>
    <row r="1026" spans="4:19" x14ac:dyDescent="0.3">
      <c r="D1026">
        <v>6056455</v>
      </c>
      <c r="F1026">
        <f t="shared" si="15"/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</row>
    <row r="1027" spans="4:19" x14ac:dyDescent="0.3">
      <c r="D1027">
        <v>6056972</v>
      </c>
      <c r="F1027">
        <f t="shared" ref="F1027:F1090" si="16">SUMIF(N1027:S1027,"&gt;=0")</f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</row>
    <row r="1028" spans="4:19" x14ac:dyDescent="0.3">
      <c r="D1028">
        <v>6056973</v>
      </c>
      <c r="F1028">
        <f t="shared" si="16"/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</row>
    <row r="1029" spans="4:19" x14ac:dyDescent="0.3">
      <c r="D1029">
        <v>6056996</v>
      </c>
      <c r="F1029">
        <f t="shared" si="16"/>
        <v>1</v>
      </c>
      <c r="N1029">
        <v>1</v>
      </c>
      <c r="O1029">
        <v>0</v>
      </c>
      <c r="P1029">
        <v>0</v>
      </c>
      <c r="Q1029">
        <v>0</v>
      </c>
      <c r="R1029">
        <v>0</v>
      </c>
      <c r="S1029">
        <v>0</v>
      </c>
    </row>
    <row r="1030" spans="4:19" x14ac:dyDescent="0.3">
      <c r="D1030">
        <v>6058569</v>
      </c>
      <c r="F1030">
        <f t="shared" si="16"/>
        <v>1</v>
      </c>
      <c r="N1030">
        <v>1</v>
      </c>
      <c r="O1030">
        <v>0</v>
      </c>
      <c r="P1030">
        <v>0</v>
      </c>
      <c r="Q1030">
        <v>0</v>
      </c>
      <c r="R1030">
        <v>0</v>
      </c>
      <c r="S1030">
        <v>0</v>
      </c>
    </row>
    <row r="1031" spans="4:19" x14ac:dyDescent="0.3">
      <c r="D1031">
        <v>6112228</v>
      </c>
      <c r="F1031">
        <f t="shared" si="16"/>
        <v>2</v>
      </c>
      <c r="N1031">
        <v>2</v>
      </c>
      <c r="O1031">
        <v>0</v>
      </c>
      <c r="P1031">
        <v>0</v>
      </c>
      <c r="Q1031">
        <v>0</v>
      </c>
      <c r="R1031">
        <v>0</v>
      </c>
      <c r="S1031">
        <v>0</v>
      </c>
    </row>
    <row r="1032" spans="4:19" x14ac:dyDescent="0.3">
      <c r="D1032">
        <v>6112229</v>
      </c>
      <c r="F1032">
        <f t="shared" si="16"/>
        <v>2</v>
      </c>
      <c r="N1032">
        <v>2</v>
      </c>
      <c r="O1032">
        <v>0</v>
      </c>
      <c r="P1032">
        <v>0</v>
      </c>
      <c r="Q1032">
        <v>0</v>
      </c>
      <c r="R1032">
        <v>0</v>
      </c>
      <c r="S1032">
        <v>0</v>
      </c>
    </row>
    <row r="1033" spans="4:19" x14ac:dyDescent="0.3">
      <c r="D1033">
        <v>6112230</v>
      </c>
      <c r="F1033">
        <f t="shared" si="16"/>
        <v>2</v>
      </c>
      <c r="N1033">
        <v>2</v>
      </c>
      <c r="O1033">
        <v>0</v>
      </c>
      <c r="P1033">
        <v>0</v>
      </c>
      <c r="Q1033">
        <v>0</v>
      </c>
      <c r="R1033">
        <v>0</v>
      </c>
      <c r="S1033">
        <v>0</v>
      </c>
    </row>
    <row r="1034" spans="4:19" x14ac:dyDescent="0.3">
      <c r="D1034">
        <v>6112231</v>
      </c>
      <c r="F1034">
        <f t="shared" si="16"/>
        <v>2</v>
      </c>
      <c r="N1034">
        <v>2</v>
      </c>
      <c r="O1034">
        <v>0</v>
      </c>
      <c r="P1034">
        <v>0</v>
      </c>
      <c r="Q1034">
        <v>0</v>
      </c>
      <c r="R1034">
        <v>0</v>
      </c>
      <c r="S1034">
        <v>0</v>
      </c>
    </row>
    <row r="1035" spans="4:19" x14ac:dyDescent="0.3">
      <c r="D1035">
        <v>6112232</v>
      </c>
      <c r="F1035">
        <f t="shared" si="16"/>
        <v>2</v>
      </c>
      <c r="N1035">
        <v>2</v>
      </c>
      <c r="O1035">
        <v>0</v>
      </c>
      <c r="P1035">
        <v>0</v>
      </c>
      <c r="Q1035">
        <v>0</v>
      </c>
      <c r="R1035">
        <v>0</v>
      </c>
      <c r="S1035">
        <v>0</v>
      </c>
    </row>
    <row r="1036" spans="4:19" x14ac:dyDescent="0.3">
      <c r="D1036">
        <v>6142324</v>
      </c>
      <c r="F1036">
        <f t="shared" si="16"/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</row>
    <row r="1037" spans="4:19" x14ac:dyDescent="0.3">
      <c r="D1037">
        <v>6154123</v>
      </c>
      <c r="F1037">
        <f t="shared" si="16"/>
        <v>2</v>
      </c>
      <c r="N1037">
        <v>2</v>
      </c>
      <c r="O1037">
        <v>0</v>
      </c>
      <c r="P1037">
        <v>0</v>
      </c>
      <c r="Q1037">
        <v>0</v>
      </c>
      <c r="R1037">
        <v>0</v>
      </c>
      <c r="S1037">
        <v>0</v>
      </c>
    </row>
    <row r="1038" spans="4:19" x14ac:dyDescent="0.3">
      <c r="D1038">
        <v>6164005</v>
      </c>
      <c r="F1038">
        <f t="shared" si="16"/>
        <v>2</v>
      </c>
      <c r="N1038">
        <v>2</v>
      </c>
      <c r="O1038">
        <v>0</v>
      </c>
      <c r="P1038">
        <v>0</v>
      </c>
      <c r="Q1038">
        <v>0</v>
      </c>
      <c r="R1038">
        <v>0</v>
      </c>
      <c r="S1038">
        <v>0</v>
      </c>
    </row>
    <row r="1039" spans="4:19" x14ac:dyDescent="0.3">
      <c r="D1039">
        <v>6180031</v>
      </c>
      <c r="F1039">
        <f t="shared" si="16"/>
        <v>1</v>
      </c>
      <c r="N1039">
        <v>1</v>
      </c>
      <c r="O1039">
        <v>0</v>
      </c>
      <c r="P1039">
        <v>0</v>
      </c>
      <c r="Q1039">
        <v>0</v>
      </c>
      <c r="R1039">
        <v>0</v>
      </c>
      <c r="S1039">
        <v>0</v>
      </c>
    </row>
    <row r="1040" spans="4:19" x14ac:dyDescent="0.3">
      <c r="D1040">
        <v>6182353</v>
      </c>
      <c r="F1040">
        <f t="shared" si="16"/>
        <v>1</v>
      </c>
      <c r="N1040">
        <v>1</v>
      </c>
      <c r="O1040">
        <v>0</v>
      </c>
      <c r="P1040">
        <v>0</v>
      </c>
      <c r="Q1040">
        <v>0</v>
      </c>
      <c r="R1040">
        <v>0</v>
      </c>
      <c r="S1040">
        <v>0</v>
      </c>
    </row>
    <row r="1041" spans="4:19" x14ac:dyDescent="0.3">
      <c r="D1041">
        <v>6204256</v>
      </c>
      <c r="F1041">
        <f t="shared" si="16"/>
        <v>15</v>
      </c>
      <c r="N1041">
        <v>15</v>
      </c>
      <c r="O1041">
        <v>0</v>
      </c>
      <c r="P1041">
        <v>0</v>
      </c>
      <c r="Q1041">
        <v>0</v>
      </c>
      <c r="R1041">
        <v>0</v>
      </c>
      <c r="S1041">
        <v>0</v>
      </c>
    </row>
    <row r="1042" spans="4:19" x14ac:dyDescent="0.3">
      <c r="D1042">
        <v>6255002</v>
      </c>
      <c r="F1042">
        <f t="shared" si="16"/>
        <v>10</v>
      </c>
      <c r="N1042">
        <v>0</v>
      </c>
      <c r="O1042">
        <v>10</v>
      </c>
      <c r="P1042">
        <v>0</v>
      </c>
      <c r="Q1042">
        <v>0</v>
      </c>
      <c r="R1042">
        <v>0</v>
      </c>
      <c r="S1042">
        <v>0</v>
      </c>
    </row>
    <row r="1043" spans="4:19" x14ac:dyDescent="0.3">
      <c r="D1043">
        <v>6255003</v>
      </c>
      <c r="F1043">
        <f t="shared" si="16"/>
        <v>5</v>
      </c>
      <c r="N1043">
        <v>0</v>
      </c>
      <c r="O1043">
        <v>5</v>
      </c>
      <c r="P1043">
        <v>0</v>
      </c>
      <c r="Q1043">
        <v>0</v>
      </c>
      <c r="R1043">
        <v>0</v>
      </c>
      <c r="S1043">
        <v>0</v>
      </c>
    </row>
    <row r="1044" spans="4:19" x14ac:dyDescent="0.3">
      <c r="D1044">
        <v>6255004</v>
      </c>
      <c r="F1044">
        <f t="shared" si="16"/>
        <v>10</v>
      </c>
      <c r="N1044">
        <v>0</v>
      </c>
      <c r="O1044">
        <v>10</v>
      </c>
      <c r="P1044">
        <v>0</v>
      </c>
      <c r="Q1044">
        <v>0</v>
      </c>
      <c r="R1044">
        <v>0</v>
      </c>
      <c r="S1044">
        <v>0</v>
      </c>
    </row>
    <row r="1045" spans="4:19" x14ac:dyDescent="0.3">
      <c r="D1045">
        <v>6272043</v>
      </c>
      <c r="F1045">
        <f t="shared" si="16"/>
        <v>6</v>
      </c>
      <c r="N1045">
        <v>6</v>
      </c>
      <c r="O1045">
        <v>0</v>
      </c>
      <c r="P1045">
        <v>0</v>
      </c>
      <c r="Q1045">
        <v>0</v>
      </c>
      <c r="R1045">
        <v>0</v>
      </c>
      <c r="S1045">
        <v>0</v>
      </c>
    </row>
    <row r="1046" spans="4:19" x14ac:dyDescent="0.3">
      <c r="D1046">
        <v>6284340</v>
      </c>
      <c r="F1046">
        <f t="shared" si="16"/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</row>
    <row r="1047" spans="4:19" x14ac:dyDescent="0.3">
      <c r="D1047">
        <v>6402759</v>
      </c>
      <c r="F1047">
        <f t="shared" si="16"/>
        <v>1</v>
      </c>
      <c r="N1047">
        <v>1</v>
      </c>
      <c r="O1047">
        <v>0</v>
      </c>
      <c r="P1047">
        <v>0</v>
      </c>
      <c r="Q1047">
        <v>0</v>
      </c>
      <c r="R1047">
        <v>0</v>
      </c>
      <c r="S1047">
        <v>0</v>
      </c>
    </row>
    <row r="1048" spans="4:19" x14ac:dyDescent="0.3">
      <c r="D1048">
        <v>6404024</v>
      </c>
      <c r="F1048">
        <f t="shared" si="16"/>
        <v>20</v>
      </c>
      <c r="N1048">
        <v>20</v>
      </c>
      <c r="O1048">
        <v>0</v>
      </c>
      <c r="P1048">
        <v>0</v>
      </c>
      <c r="Q1048">
        <v>0</v>
      </c>
      <c r="R1048">
        <v>0</v>
      </c>
      <c r="S1048">
        <v>0</v>
      </c>
    </row>
    <row r="1049" spans="4:19" x14ac:dyDescent="0.3">
      <c r="D1049">
        <v>6405007</v>
      </c>
      <c r="F1049">
        <f t="shared" si="16"/>
        <v>30</v>
      </c>
      <c r="N1049">
        <v>30</v>
      </c>
      <c r="O1049">
        <v>0</v>
      </c>
      <c r="P1049">
        <v>0</v>
      </c>
      <c r="Q1049">
        <v>0</v>
      </c>
      <c r="R1049">
        <v>0</v>
      </c>
      <c r="S1049">
        <v>0</v>
      </c>
    </row>
    <row r="1050" spans="4:19" x14ac:dyDescent="0.3">
      <c r="D1050">
        <v>6405012</v>
      </c>
      <c r="F1050">
        <f t="shared" si="16"/>
        <v>50</v>
      </c>
      <c r="N1050">
        <v>50</v>
      </c>
      <c r="O1050">
        <v>0</v>
      </c>
      <c r="P1050">
        <v>0</v>
      </c>
      <c r="Q1050">
        <v>0</v>
      </c>
      <c r="R1050">
        <v>0</v>
      </c>
      <c r="S1050">
        <v>0</v>
      </c>
    </row>
    <row r="1051" spans="4:19" x14ac:dyDescent="0.3">
      <c r="D1051">
        <v>6501254</v>
      </c>
      <c r="F1051">
        <f t="shared" si="16"/>
        <v>10</v>
      </c>
      <c r="N1051">
        <v>10</v>
      </c>
      <c r="O1051">
        <v>0</v>
      </c>
      <c r="P1051">
        <v>0</v>
      </c>
      <c r="Q1051">
        <v>0</v>
      </c>
      <c r="R1051">
        <v>0</v>
      </c>
      <c r="S1051">
        <v>0</v>
      </c>
    </row>
    <row r="1052" spans="4:19" x14ac:dyDescent="0.3">
      <c r="D1052">
        <v>6501257</v>
      </c>
      <c r="F1052">
        <f t="shared" si="16"/>
        <v>2</v>
      </c>
      <c r="N1052">
        <v>2</v>
      </c>
      <c r="O1052">
        <v>0</v>
      </c>
      <c r="P1052">
        <v>0</v>
      </c>
      <c r="Q1052">
        <v>0</v>
      </c>
      <c r="R1052">
        <v>0</v>
      </c>
      <c r="S1052">
        <v>0</v>
      </c>
    </row>
    <row r="1053" spans="4:19" x14ac:dyDescent="0.3">
      <c r="D1053">
        <v>6504590</v>
      </c>
      <c r="F1053">
        <f t="shared" si="16"/>
        <v>10</v>
      </c>
      <c r="N1053">
        <v>10</v>
      </c>
      <c r="O1053">
        <v>0</v>
      </c>
      <c r="P1053">
        <v>0</v>
      </c>
      <c r="Q1053">
        <v>0</v>
      </c>
      <c r="R1053">
        <v>0</v>
      </c>
      <c r="S1053">
        <v>0</v>
      </c>
    </row>
    <row r="1054" spans="4:19" x14ac:dyDescent="0.3">
      <c r="D1054">
        <v>6505977</v>
      </c>
      <c r="F1054">
        <f t="shared" si="16"/>
        <v>20</v>
      </c>
      <c r="N1054">
        <v>20</v>
      </c>
      <c r="O1054">
        <v>0</v>
      </c>
      <c r="P1054">
        <v>0</v>
      </c>
      <c r="Q1054">
        <v>0</v>
      </c>
      <c r="R1054">
        <v>0</v>
      </c>
      <c r="S1054">
        <v>0</v>
      </c>
    </row>
    <row r="1055" spans="4:19" x14ac:dyDescent="0.3">
      <c r="D1055">
        <v>6602190</v>
      </c>
      <c r="F1055">
        <f t="shared" si="16"/>
        <v>10</v>
      </c>
      <c r="N1055">
        <v>10</v>
      </c>
      <c r="O1055">
        <v>0</v>
      </c>
      <c r="P1055">
        <v>0</v>
      </c>
      <c r="Q1055">
        <v>0</v>
      </c>
      <c r="R1055">
        <v>0</v>
      </c>
      <c r="S1055">
        <v>0</v>
      </c>
    </row>
    <row r="1056" spans="4:19" x14ac:dyDescent="0.3">
      <c r="D1056">
        <v>6602253</v>
      </c>
      <c r="F1056">
        <f t="shared" si="16"/>
        <v>20</v>
      </c>
      <c r="N1056">
        <v>20</v>
      </c>
      <c r="O1056">
        <v>0</v>
      </c>
      <c r="P1056">
        <v>0</v>
      </c>
      <c r="Q1056">
        <v>0</v>
      </c>
      <c r="R1056">
        <v>0</v>
      </c>
      <c r="S1056">
        <v>0</v>
      </c>
    </row>
    <row r="1057" spans="4:19" x14ac:dyDescent="0.3">
      <c r="D1057">
        <v>6602268</v>
      </c>
      <c r="F1057">
        <f t="shared" si="16"/>
        <v>20</v>
      </c>
      <c r="N1057">
        <v>20</v>
      </c>
      <c r="O1057">
        <v>0</v>
      </c>
      <c r="P1057">
        <v>0</v>
      </c>
      <c r="Q1057">
        <v>0</v>
      </c>
      <c r="R1057">
        <v>0</v>
      </c>
      <c r="S1057">
        <v>0</v>
      </c>
    </row>
    <row r="1058" spans="4:19" x14ac:dyDescent="0.3">
      <c r="D1058">
        <v>6602269</v>
      </c>
      <c r="F1058">
        <f t="shared" si="16"/>
        <v>100</v>
      </c>
      <c r="N1058">
        <v>100</v>
      </c>
      <c r="O1058">
        <v>0</v>
      </c>
      <c r="P1058">
        <v>0</v>
      </c>
      <c r="Q1058">
        <v>0</v>
      </c>
      <c r="R1058">
        <v>0</v>
      </c>
      <c r="S1058">
        <v>0</v>
      </c>
    </row>
    <row r="1059" spans="4:19" x14ac:dyDescent="0.3">
      <c r="D1059">
        <v>6603699</v>
      </c>
      <c r="F1059">
        <f t="shared" si="16"/>
        <v>100</v>
      </c>
      <c r="N1059">
        <v>100</v>
      </c>
      <c r="O1059">
        <v>0</v>
      </c>
      <c r="P1059">
        <v>0</v>
      </c>
      <c r="Q1059">
        <v>0</v>
      </c>
      <c r="R1059">
        <v>0</v>
      </c>
      <c r="S1059">
        <v>0</v>
      </c>
    </row>
    <row r="1060" spans="4:19" x14ac:dyDescent="0.3">
      <c r="D1060">
        <v>6604063</v>
      </c>
      <c r="F1060">
        <f t="shared" si="16"/>
        <v>50</v>
      </c>
      <c r="N1060">
        <v>50</v>
      </c>
      <c r="O1060">
        <v>0</v>
      </c>
      <c r="P1060">
        <v>0</v>
      </c>
      <c r="Q1060">
        <v>0</v>
      </c>
      <c r="R1060">
        <v>0</v>
      </c>
      <c r="S1060">
        <v>0</v>
      </c>
    </row>
    <row r="1061" spans="4:19" x14ac:dyDescent="0.3">
      <c r="D1061">
        <v>6604240</v>
      </c>
      <c r="F1061">
        <f t="shared" si="16"/>
        <v>3</v>
      </c>
      <c r="N1061">
        <v>3</v>
      </c>
      <c r="O1061">
        <v>0</v>
      </c>
      <c r="P1061">
        <v>0</v>
      </c>
      <c r="Q1061">
        <v>0</v>
      </c>
      <c r="R1061">
        <v>0</v>
      </c>
      <c r="S1061">
        <v>0</v>
      </c>
    </row>
    <row r="1062" spans="4:19" x14ac:dyDescent="0.3">
      <c r="D1062">
        <v>6604241</v>
      </c>
      <c r="F1062">
        <f t="shared" si="16"/>
        <v>5</v>
      </c>
      <c r="N1062">
        <v>5</v>
      </c>
      <c r="O1062">
        <v>0</v>
      </c>
      <c r="P1062">
        <v>0</v>
      </c>
      <c r="Q1062">
        <v>0</v>
      </c>
      <c r="R1062">
        <v>0</v>
      </c>
      <c r="S1062">
        <v>0</v>
      </c>
    </row>
    <row r="1063" spans="4:19" x14ac:dyDescent="0.3">
      <c r="D1063">
        <v>6821278</v>
      </c>
      <c r="F1063">
        <f t="shared" si="16"/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</row>
    <row r="1064" spans="4:19" x14ac:dyDescent="0.3">
      <c r="D1064">
        <v>6821327</v>
      </c>
      <c r="F1064">
        <f t="shared" si="16"/>
        <v>50</v>
      </c>
      <c r="N1064">
        <v>50</v>
      </c>
      <c r="O1064">
        <v>0</v>
      </c>
      <c r="P1064">
        <v>0</v>
      </c>
      <c r="Q1064">
        <v>0</v>
      </c>
      <c r="R1064">
        <v>0</v>
      </c>
      <c r="S1064">
        <v>0</v>
      </c>
    </row>
    <row r="1065" spans="4:19" x14ac:dyDescent="0.3">
      <c r="D1065">
        <v>6822137</v>
      </c>
      <c r="F1065">
        <f t="shared" si="16"/>
        <v>20</v>
      </c>
      <c r="N1065">
        <v>20</v>
      </c>
      <c r="O1065">
        <v>0</v>
      </c>
      <c r="P1065">
        <v>0</v>
      </c>
      <c r="Q1065">
        <v>0</v>
      </c>
      <c r="R1065">
        <v>0</v>
      </c>
      <c r="S1065">
        <v>0</v>
      </c>
    </row>
    <row r="1066" spans="4:19" x14ac:dyDescent="0.3">
      <c r="D1066">
        <v>6822339</v>
      </c>
      <c r="F1066">
        <f t="shared" si="16"/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</row>
    <row r="1067" spans="4:19" x14ac:dyDescent="0.3">
      <c r="D1067">
        <v>6822606</v>
      </c>
      <c r="F1067">
        <f t="shared" si="16"/>
        <v>100</v>
      </c>
      <c r="N1067">
        <v>100</v>
      </c>
      <c r="O1067">
        <v>0</v>
      </c>
      <c r="P1067">
        <v>0</v>
      </c>
      <c r="Q1067">
        <v>0</v>
      </c>
      <c r="R1067">
        <v>0</v>
      </c>
      <c r="S1067">
        <v>0</v>
      </c>
    </row>
    <row r="1068" spans="4:19" x14ac:dyDescent="0.3">
      <c r="D1068">
        <v>6822987</v>
      </c>
      <c r="F1068">
        <f t="shared" si="16"/>
        <v>4</v>
      </c>
      <c r="N1068">
        <v>4</v>
      </c>
      <c r="O1068">
        <v>0</v>
      </c>
      <c r="P1068">
        <v>0</v>
      </c>
      <c r="Q1068">
        <v>0</v>
      </c>
      <c r="R1068">
        <v>0</v>
      </c>
      <c r="S1068">
        <v>0</v>
      </c>
    </row>
    <row r="1069" spans="4:19" x14ac:dyDescent="0.3">
      <c r="D1069">
        <v>6823017</v>
      </c>
      <c r="F1069">
        <f t="shared" si="16"/>
        <v>8</v>
      </c>
      <c r="N1069">
        <v>8</v>
      </c>
      <c r="O1069">
        <v>0</v>
      </c>
      <c r="P1069">
        <v>0</v>
      </c>
      <c r="Q1069">
        <v>0</v>
      </c>
      <c r="R1069">
        <v>0</v>
      </c>
      <c r="S1069">
        <v>0</v>
      </c>
    </row>
    <row r="1070" spans="4:19" x14ac:dyDescent="0.3">
      <c r="D1070">
        <v>6823277</v>
      </c>
      <c r="F1070">
        <f t="shared" si="16"/>
        <v>4</v>
      </c>
      <c r="N1070">
        <v>4</v>
      </c>
      <c r="O1070">
        <v>0</v>
      </c>
      <c r="P1070">
        <v>0</v>
      </c>
      <c r="Q1070">
        <v>0</v>
      </c>
      <c r="R1070">
        <v>0</v>
      </c>
      <c r="S1070">
        <v>0</v>
      </c>
    </row>
    <row r="1071" spans="4:19" x14ac:dyDescent="0.3">
      <c r="D1071">
        <v>6823364</v>
      </c>
      <c r="F1071">
        <f t="shared" si="16"/>
        <v>20</v>
      </c>
      <c r="N1071">
        <v>20</v>
      </c>
      <c r="O1071">
        <v>0</v>
      </c>
      <c r="P1071">
        <v>0</v>
      </c>
      <c r="Q1071">
        <v>0</v>
      </c>
      <c r="R1071">
        <v>0</v>
      </c>
      <c r="S1071">
        <v>0</v>
      </c>
    </row>
    <row r="1072" spans="4:19" x14ac:dyDescent="0.3">
      <c r="D1072">
        <v>6823365</v>
      </c>
      <c r="F1072">
        <f t="shared" si="16"/>
        <v>50</v>
      </c>
      <c r="N1072">
        <v>50</v>
      </c>
      <c r="O1072">
        <v>0</v>
      </c>
      <c r="P1072">
        <v>0</v>
      </c>
      <c r="Q1072">
        <v>0</v>
      </c>
      <c r="R1072">
        <v>0</v>
      </c>
      <c r="S1072">
        <v>0</v>
      </c>
    </row>
    <row r="1073" spans="4:19" x14ac:dyDescent="0.3">
      <c r="D1073">
        <v>6823366</v>
      </c>
      <c r="F1073">
        <f t="shared" si="16"/>
        <v>50</v>
      </c>
      <c r="N1073">
        <v>50</v>
      </c>
      <c r="O1073">
        <v>0</v>
      </c>
      <c r="P1073">
        <v>0</v>
      </c>
      <c r="Q1073">
        <v>0</v>
      </c>
      <c r="R1073">
        <v>0</v>
      </c>
      <c r="S1073">
        <v>0</v>
      </c>
    </row>
    <row r="1074" spans="4:19" x14ac:dyDescent="0.3">
      <c r="D1074">
        <v>6823737</v>
      </c>
      <c r="F1074">
        <f t="shared" si="16"/>
        <v>50</v>
      </c>
      <c r="N1074">
        <v>50</v>
      </c>
      <c r="O1074">
        <v>0</v>
      </c>
      <c r="P1074">
        <v>0</v>
      </c>
      <c r="Q1074">
        <v>0</v>
      </c>
      <c r="R1074">
        <v>0</v>
      </c>
      <c r="S1074">
        <v>0</v>
      </c>
    </row>
    <row r="1075" spans="4:19" x14ac:dyDescent="0.3">
      <c r="D1075">
        <v>6823929</v>
      </c>
      <c r="F1075">
        <f t="shared" si="16"/>
        <v>30</v>
      </c>
      <c r="N1075">
        <v>30</v>
      </c>
      <c r="O1075">
        <v>0</v>
      </c>
      <c r="P1075">
        <v>0</v>
      </c>
      <c r="Q1075">
        <v>0</v>
      </c>
      <c r="R1075">
        <v>0</v>
      </c>
      <c r="S1075">
        <v>0</v>
      </c>
    </row>
    <row r="1076" spans="4:19" x14ac:dyDescent="0.3">
      <c r="D1076">
        <v>6824216</v>
      </c>
      <c r="F1076">
        <f t="shared" si="16"/>
        <v>30</v>
      </c>
      <c r="N1076">
        <v>30</v>
      </c>
      <c r="O1076">
        <v>0</v>
      </c>
      <c r="P1076">
        <v>0</v>
      </c>
      <c r="Q1076">
        <v>0</v>
      </c>
      <c r="R1076">
        <v>0</v>
      </c>
      <c r="S1076">
        <v>0</v>
      </c>
    </row>
    <row r="1077" spans="4:19" x14ac:dyDescent="0.3">
      <c r="D1077">
        <v>6824217</v>
      </c>
      <c r="F1077">
        <f t="shared" si="16"/>
        <v>2</v>
      </c>
      <c r="N1077">
        <v>2</v>
      </c>
      <c r="O1077">
        <v>0</v>
      </c>
      <c r="P1077">
        <v>0</v>
      </c>
      <c r="Q1077">
        <v>0</v>
      </c>
      <c r="R1077">
        <v>0</v>
      </c>
      <c r="S1077">
        <v>0</v>
      </c>
    </row>
    <row r="1078" spans="4:19" x14ac:dyDescent="0.3">
      <c r="D1078">
        <v>6824223</v>
      </c>
      <c r="F1078">
        <f t="shared" si="16"/>
        <v>40</v>
      </c>
      <c r="N1078">
        <v>40</v>
      </c>
      <c r="O1078">
        <v>0</v>
      </c>
      <c r="P1078">
        <v>0</v>
      </c>
      <c r="Q1078">
        <v>0</v>
      </c>
      <c r="R1078">
        <v>0</v>
      </c>
      <c r="S1078">
        <v>0</v>
      </c>
    </row>
    <row r="1079" spans="4:19" x14ac:dyDescent="0.3">
      <c r="D1079">
        <v>6824389</v>
      </c>
      <c r="F1079">
        <f t="shared" si="16"/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</row>
    <row r="1080" spans="4:19" x14ac:dyDescent="0.3">
      <c r="D1080">
        <v>6824512</v>
      </c>
      <c r="F1080">
        <f t="shared" si="16"/>
        <v>8</v>
      </c>
      <c r="N1080">
        <v>8</v>
      </c>
      <c r="O1080">
        <v>0</v>
      </c>
      <c r="P1080">
        <v>0</v>
      </c>
      <c r="Q1080">
        <v>0</v>
      </c>
      <c r="R1080">
        <v>0</v>
      </c>
      <c r="S1080">
        <v>0</v>
      </c>
    </row>
    <row r="1081" spans="4:19" x14ac:dyDescent="0.3">
      <c r="D1081">
        <v>6824585</v>
      </c>
      <c r="F1081">
        <f t="shared" si="16"/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</row>
    <row r="1082" spans="4:19" x14ac:dyDescent="0.3">
      <c r="D1082">
        <v>6824639</v>
      </c>
      <c r="F1082">
        <f t="shared" si="16"/>
        <v>2</v>
      </c>
      <c r="N1082">
        <v>2</v>
      </c>
      <c r="O1082">
        <v>0</v>
      </c>
      <c r="P1082">
        <v>0</v>
      </c>
      <c r="Q1082">
        <v>0</v>
      </c>
      <c r="R1082">
        <v>0</v>
      </c>
      <c r="S1082">
        <v>0</v>
      </c>
    </row>
    <row r="1083" spans="4:19" x14ac:dyDescent="0.3">
      <c r="D1083">
        <v>6824651</v>
      </c>
      <c r="F1083">
        <f t="shared" si="16"/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</row>
    <row r="1084" spans="4:19" x14ac:dyDescent="0.3">
      <c r="D1084">
        <v>6825014</v>
      </c>
      <c r="F1084">
        <f t="shared" si="16"/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</row>
    <row r="1085" spans="4:19" x14ac:dyDescent="0.3">
      <c r="D1085">
        <v>6825016</v>
      </c>
      <c r="F1085">
        <f t="shared" si="16"/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</row>
    <row r="1086" spans="4:19" x14ac:dyDescent="0.3">
      <c r="D1086">
        <v>6825021</v>
      </c>
      <c r="F1086">
        <f t="shared" si="16"/>
        <v>50</v>
      </c>
      <c r="N1086">
        <v>50</v>
      </c>
      <c r="O1086">
        <v>0</v>
      </c>
      <c r="P1086">
        <v>0</v>
      </c>
      <c r="Q1086">
        <v>0</v>
      </c>
      <c r="R1086">
        <v>0</v>
      </c>
      <c r="S1086">
        <v>0</v>
      </c>
    </row>
    <row r="1087" spans="4:19" x14ac:dyDescent="0.3">
      <c r="D1087">
        <v>6825023</v>
      </c>
      <c r="F1087">
        <f t="shared" si="16"/>
        <v>3</v>
      </c>
      <c r="N1087">
        <v>3</v>
      </c>
      <c r="O1087">
        <v>0</v>
      </c>
      <c r="P1087">
        <v>0</v>
      </c>
      <c r="Q1087">
        <v>0</v>
      </c>
      <c r="R1087">
        <v>0</v>
      </c>
      <c r="S1087">
        <v>0</v>
      </c>
    </row>
    <row r="1088" spans="4:19" x14ac:dyDescent="0.3">
      <c r="D1088">
        <v>6825024</v>
      </c>
      <c r="F1088">
        <f t="shared" si="16"/>
        <v>15</v>
      </c>
      <c r="N1088">
        <v>15</v>
      </c>
      <c r="O1088">
        <v>0</v>
      </c>
      <c r="P1088">
        <v>0</v>
      </c>
      <c r="Q1088">
        <v>0</v>
      </c>
      <c r="R1088">
        <v>0</v>
      </c>
      <c r="S1088">
        <v>0</v>
      </c>
    </row>
    <row r="1089" spans="4:19" x14ac:dyDescent="0.3">
      <c r="D1089">
        <v>6825026</v>
      </c>
      <c r="F1089">
        <f t="shared" si="16"/>
        <v>30</v>
      </c>
      <c r="N1089">
        <v>30</v>
      </c>
      <c r="O1089">
        <v>0</v>
      </c>
      <c r="P1089">
        <v>0</v>
      </c>
      <c r="Q1089">
        <v>0</v>
      </c>
      <c r="R1089">
        <v>0</v>
      </c>
      <c r="S1089">
        <v>0</v>
      </c>
    </row>
    <row r="1090" spans="4:19" x14ac:dyDescent="0.3">
      <c r="D1090">
        <v>6825027</v>
      </c>
      <c r="F1090">
        <f t="shared" si="16"/>
        <v>50</v>
      </c>
      <c r="N1090">
        <v>40</v>
      </c>
      <c r="O1090">
        <v>10</v>
      </c>
      <c r="P1090">
        <v>0</v>
      </c>
      <c r="Q1090">
        <v>0</v>
      </c>
      <c r="R1090">
        <v>0</v>
      </c>
      <c r="S1090">
        <v>0</v>
      </c>
    </row>
    <row r="1091" spans="4:19" x14ac:dyDescent="0.3">
      <c r="D1091">
        <v>6825030</v>
      </c>
      <c r="F1091">
        <f t="shared" ref="F1091:F1154" si="17">SUMIF(N1091:S1091,"&gt;=0")</f>
        <v>15</v>
      </c>
      <c r="N1091">
        <v>15</v>
      </c>
      <c r="O1091">
        <v>0</v>
      </c>
      <c r="P1091">
        <v>0</v>
      </c>
      <c r="Q1091">
        <v>0</v>
      </c>
      <c r="R1091">
        <v>0</v>
      </c>
      <c r="S1091">
        <v>0</v>
      </c>
    </row>
    <row r="1092" spans="4:19" x14ac:dyDescent="0.3">
      <c r="D1092">
        <v>6828970</v>
      </c>
      <c r="F1092">
        <f t="shared" si="17"/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</row>
    <row r="1093" spans="4:19" x14ac:dyDescent="0.3">
      <c r="D1093">
        <v>6124239</v>
      </c>
      <c r="F1093">
        <f t="shared" si="17"/>
        <v>5</v>
      </c>
      <c r="N1093">
        <v>5</v>
      </c>
      <c r="O1093">
        <v>0</v>
      </c>
      <c r="P1093">
        <v>0</v>
      </c>
      <c r="Q1093">
        <v>0</v>
      </c>
      <c r="R1093">
        <v>0</v>
      </c>
      <c r="S1093">
        <v>0</v>
      </c>
    </row>
    <row r="1094" spans="4:19" x14ac:dyDescent="0.3">
      <c r="D1094">
        <v>2692775</v>
      </c>
      <c r="F1094">
        <f t="shared" si="17"/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</row>
    <row r="1095" spans="4:19" x14ac:dyDescent="0.3">
      <c r="D1095">
        <v>6016612</v>
      </c>
      <c r="F1095">
        <f t="shared" si="17"/>
        <v>28</v>
      </c>
      <c r="N1095">
        <v>28</v>
      </c>
      <c r="O1095">
        <v>0</v>
      </c>
      <c r="P1095">
        <v>0</v>
      </c>
      <c r="Q1095">
        <v>0</v>
      </c>
      <c r="R1095">
        <v>0</v>
      </c>
      <c r="S1095">
        <v>0</v>
      </c>
    </row>
    <row r="1096" spans="4:19" x14ac:dyDescent="0.3">
      <c r="D1096">
        <v>6055573</v>
      </c>
      <c r="F1096">
        <f t="shared" si="17"/>
        <v>34</v>
      </c>
      <c r="N1096">
        <v>34</v>
      </c>
      <c r="O1096">
        <v>0</v>
      </c>
      <c r="P1096">
        <v>0</v>
      </c>
      <c r="Q1096">
        <v>0</v>
      </c>
      <c r="R1096">
        <v>0</v>
      </c>
      <c r="S1096">
        <v>0</v>
      </c>
    </row>
    <row r="1097" spans="4:19" x14ac:dyDescent="0.3">
      <c r="D1097">
        <v>6055574</v>
      </c>
      <c r="F1097">
        <f t="shared" si="17"/>
        <v>114</v>
      </c>
      <c r="N1097">
        <v>84</v>
      </c>
      <c r="O1097">
        <v>0</v>
      </c>
      <c r="P1097">
        <v>30</v>
      </c>
      <c r="Q1097">
        <v>0</v>
      </c>
      <c r="R1097">
        <v>0</v>
      </c>
      <c r="S1097">
        <v>0</v>
      </c>
    </row>
    <row r="1098" spans="4:19" x14ac:dyDescent="0.3">
      <c r="D1098">
        <v>6155130</v>
      </c>
      <c r="F1098">
        <f t="shared" si="17"/>
        <v>14</v>
      </c>
      <c r="N1098">
        <v>14</v>
      </c>
      <c r="O1098">
        <v>0</v>
      </c>
      <c r="P1098">
        <v>0</v>
      </c>
      <c r="Q1098">
        <v>0</v>
      </c>
      <c r="R1098">
        <v>0</v>
      </c>
      <c r="S1098">
        <v>0</v>
      </c>
    </row>
    <row r="1099" spans="4:19" x14ac:dyDescent="0.3">
      <c r="D1099">
        <v>5704587</v>
      </c>
      <c r="F1099">
        <f t="shared" si="17"/>
        <v>5</v>
      </c>
      <c r="N1099">
        <v>5</v>
      </c>
      <c r="O1099">
        <v>0</v>
      </c>
      <c r="P1099">
        <v>0</v>
      </c>
      <c r="Q1099">
        <v>0</v>
      </c>
      <c r="R1099">
        <v>0</v>
      </c>
      <c r="S1099">
        <v>0</v>
      </c>
    </row>
    <row r="1100" spans="4:19" x14ac:dyDescent="0.3">
      <c r="D1100" t="s">
        <v>19</v>
      </c>
      <c r="F1100">
        <f t="shared" si="17"/>
        <v>9</v>
      </c>
      <c r="N1100">
        <v>9</v>
      </c>
      <c r="O1100">
        <v>0</v>
      </c>
      <c r="P1100">
        <v>0</v>
      </c>
      <c r="Q1100">
        <v>0</v>
      </c>
      <c r="R1100">
        <v>0</v>
      </c>
      <c r="S1100">
        <v>0</v>
      </c>
    </row>
    <row r="1101" spans="4:19" x14ac:dyDescent="0.3">
      <c r="D1101">
        <v>6055561</v>
      </c>
      <c r="F1101">
        <f t="shared" si="17"/>
        <v>158</v>
      </c>
      <c r="N1101">
        <v>158</v>
      </c>
      <c r="O1101">
        <v>0</v>
      </c>
      <c r="P1101">
        <v>0</v>
      </c>
      <c r="Q1101">
        <v>0</v>
      </c>
      <c r="R1101">
        <v>0</v>
      </c>
      <c r="S1101">
        <v>0</v>
      </c>
    </row>
    <row r="1102" spans="4:19" x14ac:dyDescent="0.3">
      <c r="D1102" t="s">
        <v>9</v>
      </c>
      <c r="F1102">
        <f t="shared" si="17"/>
        <v>2</v>
      </c>
      <c r="N1102">
        <v>2</v>
      </c>
      <c r="O1102">
        <v>0</v>
      </c>
      <c r="P1102">
        <v>0</v>
      </c>
      <c r="Q1102">
        <v>0</v>
      </c>
      <c r="R1102">
        <v>0</v>
      </c>
      <c r="S1102">
        <v>0</v>
      </c>
    </row>
    <row r="1103" spans="4:19" x14ac:dyDescent="0.3">
      <c r="D1103">
        <v>2692065</v>
      </c>
      <c r="F1103">
        <f t="shared" si="17"/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</row>
    <row r="1104" spans="4:19" x14ac:dyDescent="0.3">
      <c r="D1104" t="s">
        <v>180</v>
      </c>
      <c r="F1104">
        <f t="shared" si="17"/>
        <v>49</v>
      </c>
      <c r="N1104">
        <v>49</v>
      </c>
      <c r="O1104">
        <v>0</v>
      </c>
      <c r="P1104">
        <v>0</v>
      </c>
      <c r="Q1104">
        <v>0</v>
      </c>
      <c r="R1104">
        <v>0</v>
      </c>
      <c r="S1104">
        <v>0</v>
      </c>
    </row>
    <row r="1105" spans="4:19" x14ac:dyDescent="0.3">
      <c r="D1105" t="s">
        <v>179</v>
      </c>
      <c r="F1105">
        <f t="shared" si="17"/>
        <v>48</v>
      </c>
      <c r="N1105">
        <v>48</v>
      </c>
      <c r="O1105">
        <v>0</v>
      </c>
      <c r="P1105">
        <v>0</v>
      </c>
      <c r="Q1105">
        <v>0</v>
      </c>
      <c r="R1105">
        <v>0</v>
      </c>
      <c r="S1105">
        <v>0</v>
      </c>
    </row>
    <row r="1106" spans="4:19" x14ac:dyDescent="0.3">
      <c r="D1106">
        <v>5810976</v>
      </c>
      <c r="F1106">
        <f t="shared" si="17"/>
        <v>8</v>
      </c>
      <c r="N1106">
        <v>8</v>
      </c>
      <c r="O1106">
        <v>0</v>
      </c>
      <c r="P1106">
        <v>0</v>
      </c>
      <c r="Q1106">
        <v>0</v>
      </c>
      <c r="R1106">
        <v>0</v>
      </c>
      <c r="S1106">
        <v>0</v>
      </c>
    </row>
    <row r="1107" spans="4:19" x14ac:dyDescent="0.3">
      <c r="D1107">
        <v>6055509</v>
      </c>
      <c r="F1107">
        <f t="shared" si="17"/>
        <v>97</v>
      </c>
      <c r="N1107">
        <v>97</v>
      </c>
      <c r="O1107">
        <v>0</v>
      </c>
      <c r="P1107">
        <v>0</v>
      </c>
      <c r="Q1107">
        <v>0</v>
      </c>
      <c r="R1107">
        <v>0</v>
      </c>
      <c r="S1107">
        <v>0</v>
      </c>
    </row>
    <row r="1108" spans="4:19" x14ac:dyDescent="0.3">
      <c r="D1108" t="s">
        <v>10</v>
      </c>
      <c r="F1108">
        <f t="shared" si="17"/>
        <v>2</v>
      </c>
      <c r="N1108">
        <v>2</v>
      </c>
      <c r="O1108">
        <v>0</v>
      </c>
      <c r="P1108">
        <v>0</v>
      </c>
      <c r="Q1108">
        <v>0</v>
      </c>
      <c r="R1108">
        <v>0</v>
      </c>
      <c r="S1108">
        <v>0</v>
      </c>
    </row>
    <row r="1109" spans="4:19" x14ac:dyDescent="0.3">
      <c r="D1109" t="s">
        <v>23</v>
      </c>
      <c r="F1109">
        <f t="shared" si="17"/>
        <v>4</v>
      </c>
      <c r="N1109">
        <v>4</v>
      </c>
      <c r="O1109">
        <v>0</v>
      </c>
      <c r="P1109">
        <v>0</v>
      </c>
      <c r="Q1109">
        <v>0</v>
      </c>
      <c r="R1109">
        <v>0</v>
      </c>
      <c r="S1109">
        <v>0</v>
      </c>
    </row>
    <row r="1110" spans="4:19" x14ac:dyDescent="0.3">
      <c r="D1110">
        <v>6823277</v>
      </c>
      <c r="F1110">
        <f t="shared" si="17"/>
        <v>20</v>
      </c>
      <c r="N1110">
        <v>20</v>
      </c>
      <c r="O1110">
        <v>0</v>
      </c>
      <c r="P1110">
        <v>0</v>
      </c>
      <c r="Q1110">
        <v>0</v>
      </c>
      <c r="R1110">
        <v>0</v>
      </c>
      <c r="S1110">
        <v>0</v>
      </c>
    </row>
    <row r="1111" spans="4:19" x14ac:dyDescent="0.3">
      <c r="D1111">
        <v>6041030</v>
      </c>
      <c r="F1111">
        <f t="shared" si="17"/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</row>
    <row r="1112" spans="4:19" x14ac:dyDescent="0.3">
      <c r="D1112" t="s">
        <v>182</v>
      </c>
      <c r="F1112">
        <f t="shared" si="17"/>
        <v>15</v>
      </c>
      <c r="N1112">
        <v>15</v>
      </c>
      <c r="O1112">
        <v>0</v>
      </c>
      <c r="P1112">
        <v>0</v>
      </c>
      <c r="Q1112">
        <v>0</v>
      </c>
      <c r="R1112">
        <v>0</v>
      </c>
      <c r="S1112">
        <v>0</v>
      </c>
    </row>
    <row r="1113" spans="4:19" x14ac:dyDescent="0.3">
      <c r="D1113">
        <v>6041222</v>
      </c>
      <c r="F1113">
        <f t="shared" si="17"/>
        <v>3</v>
      </c>
      <c r="N1113">
        <v>3</v>
      </c>
      <c r="O1113">
        <v>0</v>
      </c>
      <c r="P1113">
        <v>0</v>
      </c>
      <c r="Q1113">
        <v>0</v>
      </c>
      <c r="R1113">
        <v>0</v>
      </c>
      <c r="S1113">
        <v>0</v>
      </c>
    </row>
    <row r="1114" spans="4:19" x14ac:dyDescent="0.3">
      <c r="D1114">
        <v>6056185</v>
      </c>
      <c r="F1114">
        <f t="shared" si="17"/>
        <v>1</v>
      </c>
      <c r="N1114">
        <v>1</v>
      </c>
      <c r="O1114">
        <v>0</v>
      </c>
      <c r="P1114">
        <v>0</v>
      </c>
      <c r="Q1114">
        <v>0</v>
      </c>
      <c r="R1114">
        <v>0</v>
      </c>
      <c r="S1114">
        <v>0</v>
      </c>
    </row>
    <row r="1115" spans="4:19" x14ac:dyDescent="0.3">
      <c r="D1115">
        <v>6825026</v>
      </c>
      <c r="F1115">
        <f t="shared" si="17"/>
        <v>361</v>
      </c>
      <c r="N1115">
        <v>361</v>
      </c>
      <c r="O1115">
        <v>0</v>
      </c>
      <c r="P1115">
        <v>0</v>
      </c>
      <c r="Q1115">
        <v>0</v>
      </c>
      <c r="R1115">
        <v>0</v>
      </c>
      <c r="S1115">
        <v>0</v>
      </c>
    </row>
    <row r="1116" spans="4:19" x14ac:dyDescent="0.3">
      <c r="D1116">
        <v>2694126</v>
      </c>
      <c r="F1116">
        <f t="shared" si="17"/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</row>
    <row r="1117" spans="4:19" x14ac:dyDescent="0.3">
      <c r="D1117">
        <v>6056297</v>
      </c>
      <c r="F1117">
        <f t="shared" si="17"/>
        <v>52</v>
      </c>
      <c r="N1117">
        <v>52</v>
      </c>
      <c r="O1117">
        <v>0</v>
      </c>
      <c r="P1117">
        <v>0</v>
      </c>
      <c r="Q1117">
        <v>0</v>
      </c>
      <c r="R1117">
        <v>0</v>
      </c>
      <c r="S1117">
        <v>0</v>
      </c>
    </row>
    <row r="1118" spans="4:19" x14ac:dyDescent="0.3">
      <c r="D1118">
        <v>6825016</v>
      </c>
      <c r="F1118">
        <f t="shared" si="17"/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</row>
    <row r="1119" spans="4:19" x14ac:dyDescent="0.3">
      <c r="D1119">
        <v>5814383</v>
      </c>
      <c r="F1119">
        <f t="shared" si="17"/>
        <v>1</v>
      </c>
      <c r="N1119">
        <v>1</v>
      </c>
      <c r="O1119">
        <v>0</v>
      </c>
      <c r="P1119">
        <v>0</v>
      </c>
      <c r="Q1119">
        <v>0</v>
      </c>
      <c r="R1119">
        <v>0</v>
      </c>
      <c r="S1119">
        <v>0</v>
      </c>
    </row>
    <row r="1120" spans="4:19" x14ac:dyDescent="0.3">
      <c r="D1120">
        <v>6125028</v>
      </c>
      <c r="F1120">
        <f t="shared" si="17"/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</row>
    <row r="1121" spans="4:19" x14ac:dyDescent="0.3">
      <c r="D1121">
        <v>6125030</v>
      </c>
      <c r="F1121">
        <f t="shared" si="17"/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</row>
    <row r="1122" spans="4:19" x14ac:dyDescent="0.3">
      <c r="D1122" t="s">
        <v>15</v>
      </c>
      <c r="F1122">
        <f t="shared" si="17"/>
        <v>70</v>
      </c>
      <c r="N1122">
        <v>70</v>
      </c>
      <c r="O1122">
        <v>0</v>
      </c>
      <c r="P1122">
        <v>0</v>
      </c>
      <c r="Q1122">
        <v>0</v>
      </c>
      <c r="R1122">
        <v>0</v>
      </c>
      <c r="S1122">
        <v>0</v>
      </c>
    </row>
    <row r="1123" spans="4:19" x14ac:dyDescent="0.3">
      <c r="D1123">
        <v>6048641</v>
      </c>
      <c r="F1123">
        <f t="shared" si="17"/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</row>
    <row r="1124" spans="4:19" x14ac:dyDescent="0.3">
      <c r="D1124">
        <v>6603699</v>
      </c>
      <c r="F1124">
        <f t="shared" si="17"/>
        <v>247</v>
      </c>
      <c r="N1124">
        <v>247</v>
      </c>
      <c r="O1124">
        <v>0</v>
      </c>
      <c r="P1124">
        <v>0</v>
      </c>
      <c r="Q1124">
        <v>0</v>
      </c>
      <c r="R1124">
        <v>0</v>
      </c>
      <c r="S1124">
        <v>0</v>
      </c>
    </row>
    <row r="1125" spans="4:19" x14ac:dyDescent="0.3">
      <c r="D1125">
        <v>2692064</v>
      </c>
      <c r="F1125">
        <f t="shared" si="17"/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</row>
    <row r="1126" spans="4:19" x14ac:dyDescent="0.3">
      <c r="D1126">
        <v>2692066</v>
      </c>
      <c r="F1126">
        <f t="shared" si="17"/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</row>
    <row r="1127" spans="4:19" x14ac:dyDescent="0.3">
      <c r="D1127">
        <v>2692404</v>
      </c>
      <c r="F1127">
        <f t="shared" si="17"/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</row>
    <row r="1128" spans="4:19" x14ac:dyDescent="0.3">
      <c r="D1128">
        <v>6043735</v>
      </c>
      <c r="F1128">
        <f t="shared" si="17"/>
        <v>67</v>
      </c>
      <c r="N1128">
        <v>67</v>
      </c>
      <c r="O1128">
        <v>0</v>
      </c>
      <c r="P1128">
        <v>0</v>
      </c>
      <c r="Q1128">
        <v>0</v>
      </c>
      <c r="R1128">
        <v>0</v>
      </c>
      <c r="S1128">
        <v>0</v>
      </c>
    </row>
    <row r="1129" spans="4:19" x14ac:dyDescent="0.3">
      <c r="D1129" t="s">
        <v>169</v>
      </c>
      <c r="F1129">
        <f t="shared" si="17"/>
        <v>13</v>
      </c>
      <c r="N1129">
        <v>13</v>
      </c>
      <c r="O1129">
        <v>0</v>
      </c>
      <c r="P1129">
        <v>0</v>
      </c>
      <c r="Q1129">
        <v>0</v>
      </c>
      <c r="R1129">
        <v>0</v>
      </c>
      <c r="S1129">
        <v>0</v>
      </c>
    </row>
    <row r="1130" spans="4:19" x14ac:dyDescent="0.3">
      <c r="D1130">
        <v>6045639</v>
      </c>
      <c r="F1130">
        <f t="shared" si="17"/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</row>
    <row r="1131" spans="4:19" x14ac:dyDescent="0.3">
      <c r="D1131">
        <v>6112228</v>
      </c>
      <c r="F1131">
        <f t="shared" si="17"/>
        <v>7</v>
      </c>
      <c r="N1131">
        <v>7</v>
      </c>
      <c r="O1131">
        <v>0</v>
      </c>
      <c r="P1131">
        <v>0</v>
      </c>
      <c r="Q1131">
        <v>0</v>
      </c>
      <c r="R1131">
        <v>0</v>
      </c>
      <c r="S1131">
        <v>0</v>
      </c>
    </row>
    <row r="1132" spans="4:19" x14ac:dyDescent="0.3">
      <c r="D1132">
        <v>6124243</v>
      </c>
      <c r="F1132">
        <f t="shared" si="17"/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</row>
    <row r="1133" spans="4:19" x14ac:dyDescent="0.3">
      <c r="D1133">
        <v>5503631</v>
      </c>
      <c r="F1133">
        <f t="shared" si="17"/>
        <v>1</v>
      </c>
      <c r="N1133">
        <v>1</v>
      </c>
      <c r="O1133">
        <v>0</v>
      </c>
      <c r="P1133">
        <v>0</v>
      </c>
      <c r="Q1133">
        <v>0</v>
      </c>
      <c r="R1133">
        <v>0</v>
      </c>
      <c r="S1133">
        <v>0</v>
      </c>
    </row>
    <row r="1134" spans="4:19" x14ac:dyDescent="0.3">
      <c r="D1134">
        <v>6056988</v>
      </c>
      <c r="F1134">
        <f t="shared" si="17"/>
        <v>2</v>
      </c>
      <c r="N1134">
        <v>2</v>
      </c>
      <c r="O1134">
        <v>0</v>
      </c>
      <c r="P1134">
        <v>0</v>
      </c>
      <c r="Q1134">
        <v>0</v>
      </c>
      <c r="R1134">
        <v>0</v>
      </c>
      <c r="S1134">
        <v>0</v>
      </c>
    </row>
    <row r="1135" spans="4:19" x14ac:dyDescent="0.3">
      <c r="D1135">
        <v>6202928</v>
      </c>
      <c r="F1135">
        <f t="shared" si="17"/>
        <v>7</v>
      </c>
      <c r="N1135">
        <v>7</v>
      </c>
      <c r="O1135">
        <v>0</v>
      </c>
      <c r="P1135">
        <v>0</v>
      </c>
      <c r="Q1135">
        <v>0</v>
      </c>
      <c r="R1135">
        <v>0</v>
      </c>
      <c r="S1135">
        <v>0</v>
      </c>
    </row>
    <row r="1136" spans="4:19" x14ac:dyDescent="0.3">
      <c r="D1136">
        <v>6204258</v>
      </c>
      <c r="F1136">
        <f t="shared" si="17"/>
        <v>2</v>
      </c>
      <c r="N1136">
        <v>2</v>
      </c>
      <c r="O1136">
        <v>0</v>
      </c>
      <c r="P1136">
        <v>0</v>
      </c>
      <c r="Q1136">
        <v>0</v>
      </c>
      <c r="R1136">
        <v>0</v>
      </c>
      <c r="S1136">
        <v>0</v>
      </c>
    </row>
    <row r="1137" spans="4:19" x14ac:dyDescent="0.3">
      <c r="D1137">
        <v>6821327</v>
      </c>
      <c r="F1137">
        <f t="shared" si="17"/>
        <v>285</v>
      </c>
      <c r="N1137">
        <v>285</v>
      </c>
      <c r="O1137">
        <v>0</v>
      </c>
      <c r="P1137">
        <v>0</v>
      </c>
      <c r="Q1137">
        <v>0</v>
      </c>
      <c r="R1137">
        <v>0</v>
      </c>
      <c r="S1137">
        <v>0</v>
      </c>
    </row>
    <row r="1138" spans="4:19" x14ac:dyDescent="0.3">
      <c r="D1138">
        <v>2692774</v>
      </c>
      <c r="F1138">
        <f t="shared" si="17"/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</row>
    <row r="1139" spans="4:19" x14ac:dyDescent="0.3">
      <c r="D1139">
        <v>6825021</v>
      </c>
      <c r="F1139">
        <f t="shared" si="17"/>
        <v>319</v>
      </c>
      <c r="N1139">
        <v>319</v>
      </c>
      <c r="O1139">
        <v>0</v>
      </c>
      <c r="P1139">
        <v>0</v>
      </c>
      <c r="Q1139">
        <v>0</v>
      </c>
      <c r="R1139">
        <v>0</v>
      </c>
      <c r="S1139">
        <v>0</v>
      </c>
    </row>
    <row r="1140" spans="4:19" x14ac:dyDescent="0.3">
      <c r="D1140" t="s">
        <v>8</v>
      </c>
      <c r="F1140">
        <f t="shared" si="17"/>
        <v>4</v>
      </c>
      <c r="N1140">
        <v>4</v>
      </c>
      <c r="O1140">
        <v>0</v>
      </c>
      <c r="P1140">
        <v>0</v>
      </c>
      <c r="Q1140">
        <v>0</v>
      </c>
      <c r="R1140">
        <v>0</v>
      </c>
      <c r="S1140">
        <v>0</v>
      </c>
    </row>
    <row r="1141" spans="4:19" x14ac:dyDescent="0.3">
      <c r="D1141">
        <v>6272043</v>
      </c>
      <c r="F1141">
        <f t="shared" si="17"/>
        <v>8</v>
      </c>
      <c r="N1141">
        <v>8</v>
      </c>
      <c r="O1141">
        <v>0</v>
      </c>
      <c r="P1141">
        <v>0</v>
      </c>
      <c r="Q1141">
        <v>0</v>
      </c>
      <c r="R1141">
        <v>0</v>
      </c>
      <c r="S1141">
        <v>0</v>
      </c>
    </row>
    <row r="1142" spans="4:19" x14ac:dyDescent="0.3">
      <c r="D1142" t="s">
        <v>309</v>
      </c>
      <c r="F1142">
        <f t="shared" si="17"/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</row>
    <row r="1143" spans="4:19" x14ac:dyDescent="0.3">
      <c r="D1143" t="s">
        <v>310</v>
      </c>
      <c r="F1143">
        <f t="shared" si="17"/>
        <v>34</v>
      </c>
      <c r="N1143">
        <v>34</v>
      </c>
      <c r="O1143">
        <v>0</v>
      </c>
      <c r="P1143">
        <v>0</v>
      </c>
      <c r="Q1143">
        <v>0</v>
      </c>
      <c r="R1143">
        <v>0</v>
      </c>
      <c r="S1143">
        <v>0</v>
      </c>
    </row>
    <row r="1144" spans="4:19" x14ac:dyDescent="0.3">
      <c r="D1144">
        <v>5504093</v>
      </c>
      <c r="F1144">
        <f t="shared" si="17"/>
        <v>39</v>
      </c>
      <c r="N1144">
        <v>39</v>
      </c>
      <c r="O1144">
        <v>0</v>
      </c>
      <c r="P1144">
        <v>0</v>
      </c>
      <c r="Q1144">
        <v>0</v>
      </c>
      <c r="R1144">
        <v>0</v>
      </c>
      <c r="S1144">
        <v>0</v>
      </c>
    </row>
    <row r="1145" spans="4:19" x14ac:dyDescent="0.3">
      <c r="D1145">
        <v>5320034</v>
      </c>
      <c r="F1145">
        <f t="shared" si="17"/>
        <v>90</v>
      </c>
      <c r="N1145">
        <v>90</v>
      </c>
      <c r="O1145">
        <v>0</v>
      </c>
      <c r="P1145">
        <v>0</v>
      </c>
      <c r="Q1145">
        <v>0</v>
      </c>
      <c r="R1145">
        <v>0</v>
      </c>
      <c r="S1145">
        <v>0</v>
      </c>
    </row>
    <row r="1146" spans="4:19" x14ac:dyDescent="0.3">
      <c r="D1146">
        <v>6154755</v>
      </c>
      <c r="F1146">
        <f t="shared" si="17"/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</row>
    <row r="1147" spans="4:19" x14ac:dyDescent="0.3">
      <c r="D1147">
        <v>6509198</v>
      </c>
      <c r="F1147">
        <f t="shared" si="17"/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</row>
    <row r="1148" spans="4:19" x14ac:dyDescent="0.3">
      <c r="D1148">
        <v>6502365</v>
      </c>
      <c r="F1148">
        <f t="shared" si="17"/>
        <v>16</v>
      </c>
      <c r="N1148">
        <v>16</v>
      </c>
      <c r="O1148">
        <v>0</v>
      </c>
      <c r="P1148">
        <v>0</v>
      </c>
      <c r="Q1148">
        <v>0</v>
      </c>
      <c r="R1148">
        <v>0</v>
      </c>
      <c r="S1148">
        <v>0</v>
      </c>
    </row>
    <row r="1149" spans="4:19" x14ac:dyDescent="0.3">
      <c r="D1149">
        <v>6505805</v>
      </c>
      <c r="F1149">
        <f t="shared" si="17"/>
        <v>2</v>
      </c>
      <c r="N1149">
        <v>2</v>
      </c>
      <c r="O1149">
        <v>0</v>
      </c>
      <c r="P1149">
        <v>0</v>
      </c>
      <c r="Q1149">
        <v>0</v>
      </c>
      <c r="R1149">
        <v>0</v>
      </c>
      <c r="S1149">
        <v>0</v>
      </c>
    </row>
    <row r="1150" spans="4:19" x14ac:dyDescent="0.3">
      <c r="D1150">
        <v>6053860</v>
      </c>
      <c r="F1150">
        <f t="shared" si="17"/>
        <v>38</v>
      </c>
      <c r="N1150">
        <v>38</v>
      </c>
      <c r="O1150">
        <v>0</v>
      </c>
      <c r="P1150">
        <v>0</v>
      </c>
      <c r="Q1150">
        <v>0</v>
      </c>
      <c r="R1150">
        <v>0</v>
      </c>
      <c r="S1150">
        <v>0</v>
      </c>
    </row>
    <row r="1151" spans="4:19" x14ac:dyDescent="0.3">
      <c r="D1151">
        <v>6056142</v>
      </c>
      <c r="F1151">
        <f t="shared" si="17"/>
        <v>5</v>
      </c>
      <c r="N1151">
        <v>5</v>
      </c>
      <c r="O1151">
        <v>0</v>
      </c>
      <c r="P1151">
        <v>0</v>
      </c>
      <c r="Q1151">
        <v>0</v>
      </c>
      <c r="R1151">
        <v>0</v>
      </c>
      <c r="S1151">
        <v>0</v>
      </c>
    </row>
    <row r="1152" spans="4:19" x14ac:dyDescent="0.3">
      <c r="D1152">
        <v>6192147</v>
      </c>
      <c r="F1152">
        <f t="shared" si="17"/>
        <v>16</v>
      </c>
      <c r="N1152">
        <v>16</v>
      </c>
      <c r="O1152">
        <v>0</v>
      </c>
      <c r="P1152">
        <v>0</v>
      </c>
      <c r="Q1152">
        <v>0</v>
      </c>
      <c r="R1152">
        <v>0</v>
      </c>
      <c r="S1152">
        <v>0</v>
      </c>
    </row>
    <row r="1153" spans="4:19" x14ac:dyDescent="0.3">
      <c r="D1153">
        <v>6824639</v>
      </c>
      <c r="F1153">
        <f t="shared" si="17"/>
        <v>9</v>
      </c>
      <c r="N1153">
        <v>9</v>
      </c>
      <c r="O1153">
        <v>0</v>
      </c>
      <c r="P1153">
        <v>0</v>
      </c>
      <c r="Q1153">
        <v>0</v>
      </c>
      <c r="R1153">
        <v>0</v>
      </c>
      <c r="S1153">
        <v>0</v>
      </c>
    </row>
    <row r="1154" spans="4:19" x14ac:dyDescent="0.3">
      <c r="D1154">
        <v>6059087</v>
      </c>
      <c r="F1154">
        <f t="shared" si="17"/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</row>
    <row r="1155" spans="4:19" x14ac:dyDescent="0.3">
      <c r="D1155">
        <v>6056037</v>
      </c>
      <c r="F1155">
        <f t="shared" ref="F1155:F1218" si="18">SUMIF(N1155:S1155,"&gt;=0")</f>
        <v>106</v>
      </c>
      <c r="N1155">
        <v>106</v>
      </c>
      <c r="O1155">
        <v>0</v>
      </c>
      <c r="P1155">
        <v>0</v>
      </c>
      <c r="Q1155">
        <v>0</v>
      </c>
      <c r="R1155">
        <v>0</v>
      </c>
      <c r="S1155">
        <v>0</v>
      </c>
    </row>
    <row r="1156" spans="4:19" x14ac:dyDescent="0.3">
      <c r="D1156">
        <v>6056566</v>
      </c>
      <c r="F1156">
        <f t="shared" si="18"/>
        <v>33</v>
      </c>
      <c r="N1156">
        <v>33</v>
      </c>
      <c r="O1156">
        <v>0</v>
      </c>
      <c r="P1156">
        <v>0</v>
      </c>
      <c r="Q1156">
        <v>0</v>
      </c>
      <c r="R1156">
        <v>0</v>
      </c>
      <c r="S1156">
        <v>0</v>
      </c>
    </row>
    <row r="1157" spans="4:19" x14ac:dyDescent="0.3">
      <c r="D1157">
        <v>6056591</v>
      </c>
      <c r="F1157">
        <f t="shared" si="18"/>
        <v>192</v>
      </c>
      <c r="N1157">
        <v>192</v>
      </c>
      <c r="O1157">
        <v>0</v>
      </c>
      <c r="P1157">
        <v>0</v>
      </c>
      <c r="Q1157">
        <v>0</v>
      </c>
      <c r="R1157">
        <v>0</v>
      </c>
      <c r="S1157">
        <v>0</v>
      </c>
    </row>
    <row r="1158" spans="4:19" x14ac:dyDescent="0.3">
      <c r="D1158">
        <v>6056538</v>
      </c>
      <c r="F1158">
        <f t="shared" si="18"/>
        <v>117</v>
      </c>
      <c r="N1158">
        <v>117</v>
      </c>
      <c r="O1158">
        <v>0</v>
      </c>
      <c r="P1158">
        <v>0</v>
      </c>
      <c r="Q1158">
        <v>0</v>
      </c>
      <c r="R1158">
        <v>0</v>
      </c>
      <c r="S1158">
        <v>0</v>
      </c>
    </row>
    <row r="1159" spans="4:19" x14ac:dyDescent="0.3">
      <c r="D1159">
        <v>6056597</v>
      </c>
      <c r="F1159">
        <f t="shared" si="18"/>
        <v>208</v>
      </c>
      <c r="N1159">
        <v>208</v>
      </c>
      <c r="O1159">
        <v>0</v>
      </c>
      <c r="P1159">
        <v>0</v>
      </c>
      <c r="Q1159">
        <v>0</v>
      </c>
      <c r="R1159">
        <v>0</v>
      </c>
      <c r="S1159">
        <v>0</v>
      </c>
    </row>
    <row r="1160" spans="4:19" x14ac:dyDescent="0.3">
      <c r="D1160">
        <v>5813802</v>
      </c>
      <c r="F1160">
        <f t="shared" si="18"/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</row>
    <row r="1161" spans="4:19" x14ac:dyDescent="0.3">
      <c r="D1161">
        <v>6604240</v>
      </c>
      <c r="F1161">
        <f t="shared" si="18"/>
        <v>18</v>
      </c>
      <c r="N1161">
        <v>18</v>
      </c>
      <c r="O1161">
        <v>0</v>
      </c>
      <c r="P1161">
        <v>0</v>
      </c>
      <c r="Q1161">
        <v>0</v>
      </c>
      <c r="R1161">
        <v>0</v>
      </c>
      <c r="S1161">
        <v>0</v>
      </c>
    </row>
    <row r="1162" spans="4:19" x14ac:dyDescent="0.3">
      <c r="D1162">
        <v>6056594</v>
      </c>
      <c r="F1162">
        <f t="shared" si="18"/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</row>
    <row r="1163" spans="4:19" x14ac:dyDescent="0.3">
      <c r="D1163">
        <v>6056608</v>
      </c>
      <c r="F1163">
        <f t="shared" si="18"/>
        <v>30</v>
      </c>
      <c r="N1163">
        <v>30</v>
      </c>
      <c r="O1163">
        <v>0</v>
      </c>
      <c r="P1163">
        <v>0</v>
      </c>
      <c r="Q1163">
        <v>0</v>
      </c>
      <c r="R1163">
        <v>0</v>
      </c>
      <c r="S1163">
        <v>0</v>
      </c>
    </row>
    <row r="1164" spans="4:19" x14ac:dyDescent="0.3">
      <c r="D1164">
        <v>6056592</v>
      </c>
      <c r="F1164">
        <f t="shared" si="18"/>
        <v>57</v>
      </c>
      <c r="N1164">
        <v>57</v>
      </c>
      <c r="O1164">
        <v>0</v>
      </c>
      <c r="P1164">
        <v>0</v>
      </c>
      <c r="Q1164">
        <v>0</v>
      </c>
      <c r="R1164">
        <v>0</v>
      </c>
      <c r="S1164">
        <v>0</v>
      </c>
    </row>
    <row r="1165" spans="4:19" x14ac:dyDescent="0.3">
      <c r="D1165">
        <v>6056583</v>
      </c>
      <c r="F1165">
        <f t="shared" si="18"/>
        <v>22</v>
      </c>
      <c r="N1165">
        <v>22</v>
      </c>
      <c r="O1165">
        <v>0</v>
      </c>
      <c r="P1165">
        <v>0</v>
      </c>
      <c r="Q1165">
        <v>0</v>
      </c>
      <c r="R1165">
        <v>0</v>
      </c>
      <c r="S1165">
        <v>0</v>
      </c>
    </row>
    <row r="1166" spans="4:19" x14ac:dyDescent="0.3">
      <c r="D1166">
        <v>5309738</v>
      </c>
      <c r="F1166">
        <f t="shared" si="18"/>
        <v>5</v>
      </c>
      <c r="N1166">
        <v>5</v>
      </c>
      <c r="O1166">
        <v>0</v>
      </c>
      <c r="P1166">
        <v>0</v>
      </c>
      <c r="Q1166">
        <v>0</v>
      </c>
      <c r="R1166">
        <v>0</v>
      </c>
      <c r="S1166">
        <v>0</v>
      </c>
    </row>
    <row r="1167" spans="4:19" x14ac:dyDescent="0.3">
      <c r="D1167">
        <v>6056558</v>
      </c>
      <c r="F1167">
        <f t="shared" si="18"/>
        <v>150</v>
      </c>
      <c r="N1167">
        <v>150</v>
      </c>
      <c r="O1167">
        <v>0</v>
      </c>
      <c r="P1167">
        <v>0</v>
      </c>
      <c r="Q1167">
        <v>0</v>
      </c>
      <c r="R1167">
        <v>0</v>
      </c>
      <c r="S1167">
        <v>0</v>
      </c>
    </row>
    <row r="1168" spans="4:19" x14ac:dyDescent="0.3">
      <c r="D1168">
        <v>6056567</v>
      </c>
      <c r="F1168">
        <f t="shared" si="18"/>
        <v>151</v>
      </c>
      <c r="N1168">
        <v>151</v>
      </c>
      <c r="O1168">
        <v>0</v>
      </c>
      <c r="P1168">
        <v>0</v>
      </c>
      <c r="Q1168">
        <v>0</v>
      </c>
      <c r="R1168">
        <v>0</v>
      </c>
      <c r="S1168">
        <v>0</v>
      </c>
    </row>
    <row r="1169" spans="4:19" x14ac:dyDescent="0.3">
      <c r="D1169">
        <v>6056543</v>
      </c>
      <c r="F1169">
        <f t="shared" si="18"/>
        <v>61</v>
      </c>
      <c r="N1169">
        <v>61</v>
      </c>
      <c r="O1169">
        <v>0</v>
      </c>
      <c r="P1169">
        <v>0</v>
      </c>
      <c r="Q1169">
        <v>0</v>
      </c>
      <c r="R1169">
        <v>0</v>
      </c>
      <c r="S1169">
        <v>0</v>
      </c>
    </row>
    <row r="1170" spans="4:19" x14ac:dyDescent="0.3">
      <c r="D1170">
        <v>5702589</v>
      </c>
      <c r="F1170">
        <f t="shared" si="18"/>
        <v>4</v>
      </c>
      <c r="N1170">
        <v>4</v>
      </c>
      <c r="O1170">
        <v>0</v>
      </c>
      <c r="P1170">
        <v>0</v>
      </c>
      <c r="Q1170">
        <v>0</v>
      </c>
      <c r="R1170">
        <v>0</v>
      </c>
      <c r="S1170">
        <v>0</v>
      </c>
    </row>
    <row r="1171" spans="4:19" x14ac:dyDescent="0.3">
      <c r="D1171">
        <v>5703423</v>
      </c>
      <c r="F1171">
        <f t="shared" si="18"/>
        <v>4</v>
      </c>
      <c r="N1171">
        <v>4</v>
      </c>
      <c r="O1171">
        <v>0</v>
      </c>
      <c r="P1171">
        <v>0</v>
      </c>
      <c r="Q1171">
        <v>0</v>
      </c>
      <c r="R1171">
        <v>0</v>
      </c>
      <c r="S1171">
        <v>0</v>
      </c>
    </row>
    <row r="1172" spans="4:19" x14ac:dyDescent="0.3">
      <c r="D1172">
        <v>6002997</v>
      </c>
      <c r="F1172">
        <f t="shared" si="18"/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</row>
    <row r="1173" spans="4:19" x14ac:dyDescent="0.3">
      <c r="D1173">
        <v>6003403</v>
      </c>
      <c r="F1173">
        <f t="shared" si="18"/>
        <v>1</v>
      </c>
      <c r="N1173">
        <v>1</v>
      </c>
      <c r="O1173">
        <v>0</v>
      </c>
      <c r="P1173">
        <v>0</v>
      </c>
      <c r="Q1173">
        <v>0</v>
      </c>
      <c r="R1173">
        <v>0</v>
      </c>
      <c r="S1173">
        <v>0</v>
      </c>
    </row>
    <row r="1174" spans="4:19" x14ac:dyDescent="0.3">
      <c r="D1174">
        <v>6045459</v>
      </c>
      <c r="F1174">
        <f t="shared" si="18"/>
        <v>2</v>
      </c>
      <c r="N1174">
        <v>2</v>
      </c>
      <c r="O1174">
        <v>0</v>
      </c>
      <c r="P1174">
        <v>0</v>
      </c>
      <c r="Q1174">
        <v>0</v>
      </c>
      <c r="R1174">
        <v>0</v>
      </c>
      <c r="S1174">
        <v>0</v>
      </c>
    </row>
    <row r="1175" spans="4:19" x14ac:dyDescent="0.3">
      <c r="D1175">
        <v>6825018</v>
      </c>
      <c r="F1175">
        <f t="shared" si="18"/>
        <v>16</v>
      </c>
      <c r="N1175">
        <v>16</v>
      </c>
      <c r="O1175">
        <v>0</v>
      </c>
      <c r="P1175">
        <v>0</v>
      </c>
      <c r="Q1175">
        <v>0</v>
      </c>
      <c r="R1175">
        <v>0</v>
      </c>
      <c r="S1175">
        <v>0</v>
      </c>
    </row>
    <row r="1176" spans="4:19" x14ac:dyDescent="0.3">
      <c r="D1176">
        <v>6057189</v>
      </c>
      <c r="F1176">
        <f t="shared" si="18"/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</row>
    <row r="1177" spans="4:19" x14ac:dyDescent="0.3">
      <c r="D1177">
        <v>5811055</v>
      </c>
      <c r="F1177">
        <f t="shared" si="18"/>
        <v>18</v>
      </c>
      <c r="N1177">
        <v>18</v>
      </c>
      <c r="O1177">
        <v>0</v>
      </c>
      <c r="P1177">
        <v>0</v>
      </c>
      <c r="Q1177">
        <v>0</v>
      </c>
      <c r="R1177">
        <v>0</v>
      </c>
      <c r="S1177">
        <v>0</v>
      </c>
    </row>
    <row r="1178" spans="4:19" x14ac:dyDescent="0.3">
      <c r="D1178">
        <v>6405013</v>
      </c>
      <c r="F1178">
        <f t="shared" si="18"/>
        <v>10</v>
      </c>
      <c r="N1178">
        <v>10</v>
      </c>
      <c r="O1178">
        <v>0</v>
      </c>
      <c r="P1178">
        <v>0</v>
      </c>
      <c r="Q1178">
        <v>0</v>
      </c>
      <c r="R1178">
        <v>0</v>
      </c>
      <c r="S1178">
        <v>0</v>
      </c>
    </row>
    <row r="1179" spans="4:19" x14ac:dyDescent="0.3">
      <c r="D1179" t="s">
        <v>20</v>
      </c>
      <c r="F1179">
        <f t="shared" si="18"/>
        <v>8</v>
      </c>
      <c r="N1179">
        <v>8</v>
      </c>
      <c r="O1179">
        <v>0</v>
      </c>
      <c r="P1179">
        <v>0</v>
      </c>
      <c r="Q1179">
        <v>0</v>
      </c>
      <c r="R1179">
        <v>0</v>
      </c>
      <c r="S1179">
        <v>0</v>
      </c>
    </row>
    <row r="1180" spans="4:19" x14ac:dyDescent="0.3">
      <c r="D1180">
        <v>6504590</v>
      </c>
      <c r="F1180">
        <f t="shared" si="18"/>
        <v>25</v>
      </c>
      <c r="N1180">
        <v>25</v>
      </c>
      <c r="O1180">
        <v>0</v>
      </c>
      <c r="P1180">
        <v>0</v>
      </c>
      <c r="Q1180">
        <v>0</v>
      </c>
      <c r="R1180">
        <v>0</v>
      </c>
      <c r="S1180">
        <v>0</v>
      </c>
    </row>
    <row r="1181" spans="4:19" x14ac:dyDescent="0.3">
      <c r="D1181">
        <v>6828441</v>
      </c>
      <c r="F1181">
        <f t="shared" si="18"/>
        <v>11</v>
      </c>
      <c r="N1181">
        <v>11</v>
      </c>
      <c r="O1181">
        <v>0</v>
      </c>
      <c r="P1181">
        <v>0</v>
      </c>
      <c r="Q1181">
        <v>0</v>
      </c>
      <c r="R1181">
        <v>0</v>
      </c>
      <c r="S1181">
        <v>0</v>
      </c>
    </row>
    <row r="1182" spans="4:19" x14ac:dyDescent="0.3">
      <c r="D1182">
        <v>6016611</v>
      </c>
      <c r="F1182">
        <f t="shared" si="18"/>
        <v>50</v>
      </c>
      <c r="N1182">
        <v>50</v>
      </c>
      <c r="O1182">
        <v>0</v>
      </c>
      <c r="P1182">
        <v>0</v>
      </c>
      <c r="Q1182">
        <v>0</v>
      </c>
      <c r="R1182">
        <v>0</v>
      </c>
      <c r="S1182">
        <v>0</v>
      </c>
    </row>
    <row r="1183" spans="4:19" x14ac:dyDescent="0.3">
      <c r="D1183">
        <v>6056572</v>
      </c>
      <c r="F1183">
        <f t="shared" si="18"/>
        <v>30</v>
      </c>
      <c r="N1183">
        <v>30</v>
      </c>
      <c r="O1183">
        <v>0</v>
      </c>
      <c r="P1183">
        <v>0</v>
      </c>
      <c r="Q1183">
        <v>0</v>
      </c>
      <c r="R1183">
        <v>0</v>
      </c>
      <c r="S1183">
        <v>0</v>
      </c>
    </row>
    <row r="1184" spans="4:19" x14ac:dyDescent="0.3">
      <c r="D1184">
        <v>5306213</v>
      </c>
      <c r="F1184">
        <f t="shared" si="18"/>
        <v>6</v>
      </c>
      <c r="N1184">
        <v>6</v>
      </c>
      <c r="O1184">
        <v>0</v>
      </c>
      <c r="P1184">
        <v>0</v>
      </c>
      <c r="Q1184">
        <v>0</v>
      </c>
      <c r="R1184">
        <v>0</v>
      </c>
      <c r="S1184">
        <v>0</v>
      </c>
    </row>
    <row r="1185" spans="4:19" x14ac:dyDescent="0.3">
      <c r="D1185">
        <v>6152559</v>
      </c>
      <c r="F1185">
        <f t="shared" si="18"/>
        <v>24</v>
      </c>
      <c r="N1185">
        <v>24</v>
      </c>
      <c r="O1185">
        <v>0</v>
      </c>
      <c r="P1185">
        <v>0</v>
      </c>
      <c r="Q1185">
        <v>0</v>
      </c>
      <c r="R1185">
        <v>0</v>
      </c>
      <c r="S1185">
        <v>0</v>
      </c>
    </row>
    <row r="1186" spans="4:19" x14ac:dyDescent="0.3">
      <c r="D1186">
        <v>5382002</v>
      </c>
      <c r="F1186">
        <f t="shared" si="18"/>
        <v>6</v>
      </c>
      <c r="N1186">
        <v>6</v>
      </c>
      <c r="O1186">
        <v>0</v>
      </c>
      <c r="P1186">
        <v>0</v>
      </c>
      <c r="Q1186">
        <v>0</v>
      </c>
      <c r="R1186">
        <v>0</v>
      </c>
      <c r="S1186">
        <v>0</v>
      </c>
    </row>
    <row r="1187" spans="4:19" x14ac:dyDescent="0.3">
      <c r="D1187">
        <v>6505805</v>
      </c>
      <c r="F1187">
        <f t="shared" si="18"/>
        <v>5</v>
      </c>
      <c r="N1187">
        <v>5</v>
      </c>
      <c r="O1187">
        <v>0</v>
      </c>
      <c r="P1187">
        <v>0</v>
      </c>
      <c r="Q1187">
        <v>0</v>
      </c>
      <c r="R1187">
        <v>0</v>
      </c>
      <c r="S1187">
        <v>0</v>
      </c>
    </row>
    <row r="1188" spans="4:19" x14ac:dyDescent="0.3">
      <c r="D1188">
        <v>6825023</v>
      </c>
      <c r="F1188">
        <f t="shared" si="18"/>
        <v>4</v>
      </c>
      <c r="N1188">
        <v>4</v>
      </c>
      <c r="O1188">
        <v>0</v>
      </c>
      <c r="P1188">
        <v>0</v>
      </c>
      <c r="Q1188">
        <v>0</v>
      </c>
      <c r="R1188">
        <v>0</v>
      </c>
      <c r="S1188">
        <v>0</v>
      </c>
    </row>
    <row r="1189" spans="4:19" x14ac:dyDescent="0.3">
      <c r="D1189">
        <v>6825024</v>
      </c>
      <c r="F1189">
        <f t="shared" si="18"/>
        <v>137</v>
      </c>
      <c r="N1189">
        <v>137</v>
      </c>
      <c r="O1189">
        <v>0</v>
      </c>
      <c r="P1189">
        <v>0</v>
      </c>
      <c r="Q1189">
        <v>0</v>
      </c>
      <c r="R1189">
        <v>0</v>
      </c>
      <c r="S1189">
        <v>0</v>
      </c>
    </row>
    <row r="1190" spans="4:19" x14ac:dyDescent="0.3">
      <c r="D1190">
        <v>5384623</v>
      </c>
      <c r="F1190">
        <f t="shared" si="18"/>
        <v>71</v>
      </c>
      <c r="N1190">
        <v>71</v>
      </c>
      <c r="O1190">
        <v>0</v>
      </c>
      <c r="P1190">
        <v>0</v>
      </c>
      <c r="Q1190">
        <v>0</v>
      </c>
      <c r="R1190">
        <v>0</v>
      </c>
      <c r="S1190">
        <v>0</v>
      </c>
    </row>
    <row r="1191" spans="4:19" x14ac:dyDescent="0.3">
      <c r="D1191">
        <v>5388331</v>
      </c>
      <c r="F1191">
        <f t="shared" si="18"/>
        <v>70</v>
      </c>
      <c r="N1191">
        <v>70</v>
      </c>
      <c r="O1191">
        <v>0</v>
      </c>
      <c r="P1191">
        <v>0</v>
      </c>
      <c r="Q1191">
        <v>0</v>
      </c>
      <c r="R1191">
        <v>0</v>
      </c>
      <c r="S1191">
        <v>0</v>
      </c>
    </row>
    <row r="1192" spans="4:19" x14ac:dyDescent="0.3">
      <c r="D1192">
        <v>5142823</v>
      </c>
      <c r="F1192">
        <f t="shared" si="18"/>
        <v>401</v>
      </c>
      <c r="N1192">
        <v>401</v>
      </c>
      <c r="O1192">
        <v>0</v>
      </c>
      <c r="P1192">
        <v>0</v>
      </c>
      <c r="Q1192">
        <v>0</v>
      </c>
      <c r="R1192">
        <v>0</v>
      </c>
      <c r="S1192">
        <v>0</v>
      </c>
    </row>
    <row r="1193" spans="4:19" x14ac:dyDescent="0.3">
      <c r="D1193">
        <v>6032326</v>
      </c>
      <c r="F1193">
        <f t="shared" si="18"/>
        <v>13</v>
      </c>
      <c r="N1193">
        <v>13</v>
      </c>
      <c r="O1193">
        <v>0</v>
      </c>
      <c r="P1193">
        <v>0</v>
      </c>
      <c r="Q1193">
        <v>0</v>
      </c>
      <c r="R1193">
        <v>0</v>
      </c>
      <c r="S1193">
        <v>0</v>
      </c>
    </row>
    <row r="1194" spans="4:19" x14ac:dyDescent="0.3">
      <c r="D1194">
        <v>6038324</v>
      </c>
      <c r="F1194">
        <f t="shared" si="18"/>
        <v>12</v>
      </c>
      <c r="N1194">
        <v>12</v>
      </c>
      <c r="O1194">
        <v>0</v>
      </c>
      <c r="P1194">
        <v>0</v>
      </c>
      <c r="Q1194">
        <v>0</v>
      </c>
      <c r="R1194">
        <v>0</v>
      </c>
      <c r="S1194">
        <v>0</v>
      </c>
    </row>
    <row r="1195" spans="4:19" x14ac:dyDescent="0.3">
      <c r="D1195">
        <v>6054679</v>
      </c>
      <c r="F1195">
        <f t="shared" si="18"/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</row>
    <row r="1196" spans="4:19" x14ac:dyDescent="0.3">
      <c r="D1196">
        <v>6824269</v>
      </c>
      <c r="F1196">
        <f t="shared" si="18"/>
        <v>11</v>
      </c>
      <c r="N1196">
        <v>11</v>
      </c>
      <c r="O1196">
        <v>0</v>
      </c>
      <c r="P1196">
        <v>0</v>
      </c>
      <c r="Q1196">
        <v>0</v>
      </c>
      <c r="R1196">
        <v>0</v>
      </c>
      <c r="S1196">
        <v>0</v>
      </c>
    </row>
    <row r="1197" spans="4:19" x14ac:dyDescent="0.3">
      <c r="D1197">
        <v>6544091</v>
      </c>
      <c r="F1197">
        <f t="shared" si="18"/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</row>
    <row r="1198" spans="4:19" x14ac:dyDescent="0.3">
      <c r="D1198">
        <v>6152343</v>
      </c>
      <c r="F1198">
        <f t="shared" si="18"/>
        <v>11</v>
      </c>
      <c r="N1198">
        <v>11</v>
      </c>
      <c r="O1198">
        <v>0</v>
      </c>
      <c r="P1198">
        <v>0</v>
      </c>
      <c r="Q1198">
        <v>0</v>
      </c>
      <c r="R1198">
        <v>0</v>
      </c>
      <c r="S1198">
        <v>0</v>
      </c>
    </row>
    <row r="1199" spans="4:19" x14ac:dyDescent="0.3">
      <c r="D1199">
        <v>6204260</v>
      </c>
      <c r="F1199">
        <f t="shared" si="18"/>
        <v>9</v>
      </c>
      <c r="N1199">
        <v>9</v>
      </c>
      <c r="O1199">
        <v>0</v>
      </c>
      <c r="P1199">
        <v>0</v>
      </c>
      <c r="Q1199">
        <v>0</v>
      </c>
      <c r="R1199">
        <v>0</v>
      </c>
      <c r="S1199">
        <v>0</v>
      </c>
    </row>
    <row r="1200" spans="4:19" x14ac:dyDescent="0.3">
      <c r="D1200">
        <v>6604340</v>
      </c>
      <c r="F1200">
        <f t="shared" si="18"/>
        <v>2</v>
      </c>
      <c r="N1200">
        <v>2</v>
      </c>
      <c r="O1200">
        <v>0</v>
      </c>
      <c r="P1200">
        <v>0</v>
      </c>
      <c r="Q1200">
        <v>0</v>
      </c>
      <c r="R1200">
        <v>0</v>
      </c>
      <c r="S1200">
        <v>0</v>
      </c>
    </row>
    <row r="1201" spans="4:19" x14ac:dyDescent="0.3">
      <c r="D1201">
        <v>5811121</v>
      </c>
      <c r="F1201">
        <f t="shared" si="18"/>
        <v>4</v>
      </c>
      <c r="N1201">
        <v>4</v>
      </c>
      <c r="O1201">
        <v>0</v>
      </c>
      <c r="P1201">
        <v>0</v>
      </c>
      <c r="Q1201">
        <v>0</v>
      </c>
      <c r="R1201">
        <v>0</v>
      </c>
      <c r="S1201">
        <v>0</v>
      </c>
    </row>
    <row r="1202" spans="4:19" x14ac:dyDescent="0.3">
      <c r="D1202">
        <v>6016605</v>
      </c>
      <c r="F1202">
        <f t="shared" si="18"/>
        <v>90</v>
      </c>
      <c r="N1202">
        <v>90</v>
      </c>
      <c r="O1202">
        <v>0</v>
      </c>
      <c r="P1202">
        <v>0</v>
      </c>
      <c r="Q1202">
        <v>0</v>
      </c>
      <c r="R1202">
        <v>0</v>
      </c>
      <c r="S1202">
        <v>0</v>
      </c>
    </row>
    <row r="1203" spans="4:19" x14ac:dyDescent="0.3">
      <c r="D1203">
        <v>6024117</v>
      </c>
      <c r="F1203">
        <f t="shared" si="18"/>
        <v>5</v>
      </c>
      <c r="N1203">
        <v>5</v>
      </c>
      <c r="O1203">
        <v>0</v>
      </c>
      <c r="P1203">
        <v>0</v>
      </c>
      <c r="Q1203">
        <v>0</v>
      </c>
      <c r="R1203">
        <v>0</v>
      </c>
      <c r="S1203">
        <v>0</v>
      </c>
    </row>
    <row r="1204" spans="4:19" x14ac:dyDescent="0.3">
      <c r="D1204">
        <v>6056218</v>
      </c>
      <c r="F1204">
        <f t="shared" si="18"/>
        <v>5</v>
      </c>
      <c r="N1204">
        <v>5</v>
      </c>
      <c r="O1204">
        <v>0</v>
      </c>
      <c r="P1204">
        <v>0</v>
      </c>
      <c r="Q1204">
        <v>0</v>
      </c>
      <c r="R1204">
        <v>0</v>
      </c>
      <c r="S1204">
        <v>0</v>
      </c>
    </row>
    <row r="1205" spans="4:19" x14ac:dyDescent="0.3">
      <c r="D1205">
        <v>6142324</v>
      </c>
      <c r="F1205">
        <f t="shared" si="18"/>
        <v>14</v>
      </c>
      <c r="N1205">
        <v>14</v>
      </c>
      <c r="O1205">
        <v>0</v>
      </c>
      <c r="P1205">
        <v>0</v>
      </c>
      <c r="Q1205">
        <v>0</v>
      </c>
      <c r="R1205">
        <v>0</v>
      </c>
      <c r="S1205">
        <v>0</v>
      </c>
    </row>
    <row r="1206" spans="4:19" x14ac:dyDescent="0.3">
      <c r="D1206">
        <v>6112232</v>
      </c>
      <c r="F1206">
        <f t="shared" si="18"/>
        <v>15</v>
      </c>
      <c r="N1206">
        <v>15</v>
      </c>
      <c r="O1206">
        <v>0</v>
      </c>
      <c r="P1206">
        <v>0</v>
      </c>
      <c r="Q1206">
        <v>0</v>
      </c>
      <c r="R1206">
        <v>0</v>
      </c>
      <c r="S1206">
        <v>0</v>
      </c>
    </row>
    <row r="1207" spans="4:19" x14ac:dyDescent="0.3">
      <c r="D1207">
        <v>6402750</v>
      </c>
      <c r="F1207">
        <f t="shared" si="18"/>
        <v>11</v>
      </c>
      <c r="N1207">
        <v>4</v>
      </c>
      <c r="O1207">
        <v>0</v>
      </c>
      <c r="P1207">
        <v>7</v>
      </c>
      <c r="Q1207">
        <v>0</v>
      </c>
      <c r="R1207">
        <v>0</v>
      </c>
      <c r="S1207">
        <v>0</v>
      </c>
    </row>
    <row r="1208" spans="4:19" x14ac:dyDescent="0.3">
      <c r="D1208">
        <v>5813026</v>
      </c>
      <c r="F1208">
        <f t="shared" si="18"/>
        <v>26</v>
      </c>
      <c r="N1208">
        <v>26</v>
      </c>
      <c r="O1208">
        <v>0</v>
      </c>
      <c r="P1208">
        <v>0</v>
      </c>
      <c r="Q1208">
        <v>0</v>
      </c>
      <c r="R1208">
        <v>0</v>
      </c>
      <c r="S1208">
        <v>0</v>
      </c>
    </row>
    <row r="1209" spans="4:19" x14ac:dyDescent="0.3">
      <c r="D1209">
        <v>6053865</v>
      </c>
      <c r="F1209">
        <f t="shared" si="18"/>
        <v>145</v>
      </c>
      <c r="N1209">
        <v>145</v>
      </c>
      <c r="O1209">
        <v>0</v>
      </c>
      <c r="P1209">
        <v>0</v>
      </c>
      <c r="Q1209">
        <v>0</v>
      </c>
      <c r="R1209">
        <v>0</v>
      </c>
      <c r="S1209">
        <v>0</v>
      </c>
    </row>
    <row r="1210" spans="4:19" x14ac:dyDescent="0.3">
      <c r="D1210">
        <v>6056033</v>
      </c>
      <c r="F1210">
        <f t="shared" si="18"/>
        <v>21</v>
      </c>
      <c r="N1210">
        <v>21</v>
      </c>
      <c r="O1210">
        <v>0</v>
      </c>
      <c r="P1210">
        <v>0</v>
      </c>
      <c r="Q1210">
        <v>0</v>
      </c>
      <c r="R1210">
        <v>0</v>
      </c>
      <c r="S1210">
        <v>0</v>
      </c>
    </row>
    <row r="1211" spans="4:19" x14ac:dyDescent="0.3">
      <c r="D1211">
        <v>6164042</v>
      </c>
      <c r="F1211">
        <f t="shared" si="18"/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</row>
    <row r="1212" spans="4:19" x14ac:dyDescent="0.3">
      <c r="D1212" t="s">
        <v>3</v>
      </c>
      <c r="F1212">
        <f t="shared" si="18"/>
        <v>1</v>
      </c>
      <c r="N1212">
        <v>1</v>
      </c>
      <c r="O1212">
        <v>0</v>
      </c>
      <c r="P1212">
        <v>0</v>
      </c>
      <c r="Q1212">
        <v>0</v>
      </c>
      <c r="R1212">
        <v>0</v>
      </c>
      <c r="S1212">
        <v>0</v>
      </c>
    </row>
    <row r="1213" spans="4:19" x14ac:dyDescent="0.3">
      <c r="D1213" s="80">
        <v>530000</v>
      </c>
      <c r="F1213">
        <f t="shared" si="18"/>
        <v>4</v>
      </c>
      <c r="N1213">
        <v>4</v>
      </c>
      <c r="O1213">
        <v>0</v>
      </c>
      <c r="P1213">
        <v>0</v>
      </c>
      <c r="Q1213">
        <v>0</v>
      </c>
      <c r="R1213">
        <v>0</v>
      </c>
      <c r="S1213">
        <v>0</v>
      </c>
    </row>
    <row r="1214" spans="4:19" x14ac:dyDescent="0.3">
      <c r="D1214">
        <v>6024116</v>
      </c>
      <c r="F1214">
        <f t="shared" si="18"/>
        <v>8</v>
      </c>
      <c r="N1214">
        <v>8</v>
      </c>
      <c r="O1214">
        <v>0</v>
      </c>
      <c r="P1214">
        <v>0</v>
      </c>
      <c r="Q1214">
        <v>0</v>
      </c>
      <c r="R1214">
        <v>0</v>
      </c>
      <c r="S1214">
        <v>0</v>
      </c>
    </row>
    <row r="1215" spans="4:19" x14ac:dyDescent="0.3">
      <c r="D1215">
        <v>6056571</v>
      </c>
      <c r="F1215">
        <f t="shared" si="18"/>
        <v>29</v>
      </c>
      <c r="N1215">
        <v>29</v>
      </c>
      <c r="O1215">
        <v>0</v>
      </c>
      <c r="P1215">
        <v>0</v>
      </c>
      <c r="Q1215">
        <v>0</v>
      </c>
      <c r="R1215">
        <v>0</v>
      </c>
      <c r="S1215">
        <v>0</v>
      </c>
    </row>
    <row r="1216" spans="4:19" x14ac:dyDescent="0.3">
      <c r="D1216">
        <v>6056590</v>
      </c>
      <c r="F1216">
        <f t="shared" si="18"/>
        <v>382</v>
      </c>
      <c r="N1216">
        <v>382</v>
      </c>
      <c r="O1216">
        <v>0</v>
      </c>
      <c r="P1216">
        <v>0</v>
      </c>
      <c r="Q1216">
        <v>0</v>
      </c>
      <c r="R1216">
        <v>0</v>
      </c>
      <c r="S1216">
        <v>0</v>
      </c>
    </row>
    <row r="1217" spans="4:19" x14ac:dyDescent="0.3">
      <c r="D1217">
        <v>6057143</v>
      </c>
      <c r="F1217">
        <f t="shared" si="18"/>
        <v>6</v>
      </c>
      <c r="N1217">
        <v>6</v>
      </c>
      <c r="O1217">
        <v>0</v>
      </c>
      <c r="P1217">
        <v>0</v>
      </c>
      <c r="Q1217">
        <v>0</v>
      </c>
      <c r="R1217">
        <v>0</v>
      </c>
      <c r="S1217">
        <v>0</v>
      </c>
    </row>
    <row r="1218" spans="4:19" x14ac:dyDescent="0.3">
      <c r="D1218">
        <v>5702605</v>
      </c>
      <c r="F1218">
        <f t="shared" si="18"/>
        <v>27</v>
      </c>
      <c r="N1218">
        <v>27</v>
      </c>
      <c r="O1218">
        <v>0</v>
      </c>
      <c r="P1218">
        <v>0</v>
      </c>
      <c r="Q1218">
        <v>0</v>
      </c>
      <c r="R1218">
        <v>0</v>
      </c>
      <c r="S1218">
        <v>0</v>
      </c>
    </row>
    <row r="1219" spans="4:19" x14ac:dyDescent="0.3">
      <c r="D1219">
        <v>6452187</v>
      </c>
      <c r="F1219">
        <f t="shared" ref="F1219:F1282" si="19">SUMIF(N1219:S1219,"&gt;=0")</f>
        <v>61</v>
      </c>
      <c r="N1219">
        <v>61</v>
      </c>
      <c r="O1219">
        <v>0</v>
      </c>
      <c r="P1219">
        <v>0</v>
      </c>
      <c r="Q1219">
        <v>0</v>
      </c>
      <c r="R1219">
        <v>0</v>
      </c>
      <c r="S1219">
        <v>0</v>
      </c>
    </row>
    <row r="1220" spans="4:19" x14ac:dyDescent="0.3">
      <c r="D1220">
        <v>6053859</v>
      </c>
      <c r="F1220">
        <f t="shared" si="19"/>
        <v>7</v>
      </c>
      <c r="N1220">
        <v>7</v>
      </c>
      <c r="O1220">
        <v>0</v>
      </c>
      <c r="P1220">
        <v>0</v>
      </c>
      <c r="Q1220">
        <v>0</v>
      </c>
      <c r="R1220">
        <v>0</v>
      </c>
      <c r="S1220">
        <v>0</v>
      </c>
    </row>
    <row r="1221" spans="4:19" x14ac:dyDescent="0.3">
      <c r="D1221">
        <v>5303109</v>
      </c>
      <c r="F1221">
        <f t="shared" si="19"/>
        <v>3</v>
      </c>
      <c r="N1221">
        <v>3</v>
      </c>
      <c r="O1221">
        <v>0</v>
      </c>
      <c r="P1221">
        <v>0</v>
      </c>
      <c r="Q1221">
        <v>0</v>
      </c>
      <c r="R1221">
        <v>0</v>
      </c>
      <c r="S1221">
        <v>0</v>
      </c>
    </row>
    <row r="1222" spans="4:19" x14ac:dyDescent="0.3">
      <c r="D1222">
        <v>6152477</v>
      </c>
      <c r="F1222">
        <f t="shared" si="19"/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</row>
    <row r="1223" spans="4:19" x14ac:dyDescent="0.3">
      <c r="D1223">
        <v>6158316</v>
      </c>
      <c r="F1223">
        <f t="shared" si="19"/>
        <v>6</v>
      </c>
      <c r="N1223">
        <v>6</v>
      </c>
      <c r="O1223">
        <v>0</v>
      </c>
      <c r="P1223">
        <v>0</v>
      </c>
      <c r="Q1223">
        <v>0</v>
      </c>
      <c r="R1223">
        <v>0</v>
      </c>
      <c r="S1223">
        <v>0</v>
      </c>
    </row>
    <row r="1224" spans="4:19" x14ac:dyDescent="0.3">
      <c r="D1224">
        <v>5307653</v>
      </c>
      <c r="F1224">
        <f t="shared" si="19"/>
        <v>7</v>
      </c>
      <c r="N1224">
        <v>7</v>
      </c>
      <c r="O1224">
        <v>0</v>
      </c>
      <c r="P1224">
        <v>0</v>
      </c>
      <c r="Q1224">
        <v>0</v>
      </c>
      <c r="R1224">
        <v>0</v>
      </c>
      <c r="S1224">
        <v>0</v>
      </c>
    </row>
    <row r="1225" spans="4:19" x14ac:dyDescent="0.3">
      <c r="D1225">
        <v>5303108</v>
      </c>
      <c r="F1225">
        <f t="shared" si="19"/>
        <v>9</v>
      </c>
      <c r="N1225">
        <v>9</v>
      </c>
      <c r="O1225">
        <v>0</v>
      </c>
      <c r="P1225">
        <v>0</v>
      </c>
      <c r="Q1225">
        <v>0</v>
      </c>
      <c r="R1225">
        <v>0</v>
      </c>
      <c r="S1225">
        <v>0</v>
      </c>
    </row>
    <row r="1226" spans="4:19" x14ac:dyDescent="0.3">
      <c r="D1226" t="s">
        <v>34</v>
      </c>
      <c r="F1226">
        <f t="shared" si="19"/>
        <v>5</v>
      </c>
      <c r="N1226">
        <v>5</v>
      </c>
      <c r="O1226">
        <v>0</v>
      </c>
      <c r="P1226">
        <v>0</v>
      </c>
      <c r="Q1226">
        <v>0</v>
      </c>
      <c r="R1226">
        <v>0</v>
      </c>
      <c r="S1226">
        <v>0</v>
      </c>
    </row>
    <row r="1227" spans="4:19" x14ac:dyDescent="0.3">
      <c r="D1227" t="s">
        <v>22</v>
      </c>
      <c r="F1227">
        <f t="shared" si="19"/>
        <v>58</v>
      </c>
      <c r="N1227">
        <v>58</v>
      </c>
      <c r="O1227">
        <v>0</v>
      </c>
      <c r="P1227">
        <v>0</v>
      </c>
      <c r="Q1227">
        <v>0</v>
      </c>
      <c r="R1227">
        <v>0</v>
      </c>
      <c r="S1227">
        <v>0</v>
      </c>
    </row>
    <row r="1228" spans="4:19" x14ac:dyDescent="0.3">
      <c r="D1228">
        <v>5306958</v>
      </c>
      <c r="F1228">
        <f t="shared" si="19"/>
        <v>113</v>
      </c>
      <c r="N1228">
        <v>113</v>
      </c>
      <c r="O1228">
        <v>0</v>
      </c>
      <c r="P1228">
        <v>0</v>
      </c>
      <c r="Q1228">
        <v>0</v>
      </c>
      <c r="R1228">
        <v>0</v>
      </c>
      <c r="S1228">
        <v>0</v>
      </c>
    </row>
    <row r="1229" spans="4:19" x14ac:dyDescent="0.3">
      <c r="D1229" s="80" t="s">
        <v>177</v>
      </c>
      <c r="F1229">
        <f t="shared" si="19"/>
        <v>2</v>
      </c>
      <c r="N1229">
        <v>2</v>
      </c>
      <c r="O1229">
        <v>0</v>
      </c>
      <c r="P1229">
        <v>0</v>
      </c>
      <c r="Q1229">
        <v>0</v>
      </c>
      <c r="R1229">
        <v>0</v>
      </c>
      <c r="S1229">
        <v>0</v>
      </c>
    </row>
    <row r="1230" spans="4:19" x14ac:dyDescent="0.3">
      <c r="D1230">
        <v>6056798</v>
      </c>
      <c r="F1230">
        <f t="shared" si="19"/>
        <v>12</v>
      </c>
      <c r="N1230">
        <v>12</v>
      </c>
      <c r="O1230">
        <v>0</v>
      </c>
      <c r="P1230">
        <v>0</v>
      </c>
      <c r="Q1230">
        <v>0</v>
      </c>
      <c r="R1230">
        <v>0</v>
      </c>
      <c r="S1230">
        <v>0</v>
      </c>
    </row>
    <row r="1231" spans="4:19" x14ac:dyDescent="0.3">
      <c r="D1231">
        <v>6010951</v>
      </c>
      <c r="F1231">
        <f t="shared" si="19"/>
        <v>80</v>
      </c>
      <c r="N1231">
        <v>80</v>
      </c>
      <c r="O1231">
        <v>0</v>
      </c>
      <c r="P1231">
        <v>0</v>
      </c>
      <c r="Q1231">
        <v>0</v>
      </c>
      <c r="R1231">
        <v>0</v>
      </c>
      <c r="S1231">
        <v>0</v>
      </c>
    </row>
    <row r="1232" spans="4:19" x14ac:dyDescent="0.3">
      <c r="D1232">
        <v>6152344</v>
      </c>
      <c r="F1232">
        <f t="shared" si="19"/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</row>
    <row r="1233" spans="4:19" x14ac:dyDescent="0.3">
      <c r="D1233">
        <v>6152352</v>
      </c>
      <c r="F1233">
        <f t="shared" si="19"/>
        <v>1</v>
      </c>
      <c r="N1233">
        <v>1</v>
      </c>
      <c r="O1233">
        <v>0</v>
      </c>
      <c r="P1233">
        <v>0</v>
      </c>
      <c r="Q1233">
        <v>0</v>
      </c>
      <c r="R1233">
        <v>0</v>
      </c>
      <c r="S1233">
        <v>0</v>
      </c>
    </row>
    <row r="1234" spans="4:19" x14ac:dyDescent="0.3">
      <c r="D1234">
        <v>6153290</v>
      </c>
      <c r="F1234">
        <f t="shared" si="19"/>
        <v>10</v>
      </c>
      <c r="N1234">
        <v>10</v>
      </c>
      <c r="O1234">
        <v>0</v>
      </c>
      <c r="P1234">
        <v>0</v>
      </c>
      <c r="Q1234">
        <v>0</v>
      </c>
      <c r="R1234">
        <v>0</v>
      </c>
      <c r="S1234">
        <v>0</v>
      </c>
    </row>
    <row r="1235" spans="4:19" x14ac:dyDescent="0.3">
      <c r="D1235">
        <v>6154482</v>
      </c>
      <c r="F1235">
        <f t="shared" si="19"/>
        <v>77</v>
      </c>
      <c r="N1235">
        <v>77</v>
      </c>
      <c r="O1235">
        <v>0</v>
      </c>
      <c r="P1235">
        <v>0</v>
      </c>
      <c r="Q1235">
        <v>0</v>
      </c>
      <c r="R1235">
        <v>0</v>
      </c>
      <c r="S1235">
        <v>0</v>
      </c>
    </row>
    <row r="1236" spans="4:19" x14ac:dyDescent="0.3">
      <c r="D1236">
        <v>6154522</v>
      </c>
      <c r="F1236">
        <f t="shared" si="19"/>
        <v>76</v>
      </c>
      <c r="N1236">
        <v>76</v>
      </c>
      <c r="O1236">
        <v>0</v>
      </c>
      <c r="P1236">
        <v>0</v>
      </c>
      <c r="Q1236">
        <v>0</v>
      </c>
      <c r="R1236">
        <v>0</v>
      </c>
      <c r="S1236">
        <v>0</v>
      </c>
    </row>
    <row r="1237" spans="4:19" x14ac:dyDescent="0.3">
      <c r="D1237">
        <v>6013528</v>
      </c>
      <c r="F1237">
        <f t="shared" si="19"/>
        <v>17</v>
      </c>
      <c r="N1237">
        <v>17</v>
      </c>
      <c r="O1237">
        <v>0</v>
      </c>
      <c r="P1237">
        <v>0</v>
      </c>
      <c r="Q1237">
        <v>0</v>
      </c>
      <c r="R1237">
        <v>0</v>
      </c>
      <c r="S1237">
        <v>0</v>
      </c>
    </row>
    <row r="1238" spans="4:19" x14ac:dyDescent="0.3">
      <c r="D1238">
        <v>6013530</v>
      </c>
      <c r="F1238">
        <f t="shared" si="19"/>
        <v>103</v>
      </c>
      <c r="N1238">
        <v>103</v>
      </c>
      <c r="O1238">
        <v>0</v>
      </c>
      <c r="P1238">
        <v>0</v>
      </c>
      <c r="Q1238">
        <v>0</v>
      </c>
      <c r="R1238">
        <v>0</v>
      </c>
      <c r="S1238">
        <v>0</v>
      </c>
    </row>
    <row r="1239" spans="4:19" x14ac:dyDescent="0.3">
      <c r="D1239">
        <v>6154545</v>
      </c>
      <c r="F1239">
        <f t="shared" si="19"/>
        <v>6</v>
      </c>
      <c r="N1239">
        <v>6</v>
      </c>
      <c r="O1239">
        <v>0</v>
      </c>
      <c r="P1239">
        <v>0</v>
      </c>
      <c r="Q1239">
        <v>0</v>
      </c>
      <c r="R1239">
        <v>0</v>
      </c>
      <c r="S1239">
        <v>0</v>
      </c>
    </row>
    <row r="1240" spans="4:19" x14ac:dyDescent="0.3">
      <c r="D1240">
        <v>6155127</v>
      </c>
      <c r="F1240">
        <f t="shared" si="19"/>
        <v>48</v>
      </c>
      <c r="N1240">
        <v>48</v>
      </c>
      <c r="O1240">
        <v>0</v>
      </c>
      <c r="P1240">
        <v>0</v>
      </c>
      <c r="Q1240">
        <v>0</v>
      </c>
      <c r="R1240">
        <v>0</v>
      </c>
      <c r="S1240">
        <v>0</v>
      </c>
    </row>
    <row r="1241" spans="4:19" x14ac:dyDescent="0.3">
      <c r="D1241">
        <v>6152282</v>
      </c>
      <c r="F1241">
        <f t="shared" si="19"/>
        <v>26</v>
      </c>
      <c r="N1241">
        <v>26</v>
      </c>
      <c r="O1241">
        <v>0</v>
      </c>
      <c r="P1241">
        <v>0</v>
      </c>
      <c r="Q1241">
        <v>0</v>
      </c>
      <c r="R1241">
        <v>0</v>
      </c>
      <c r="S1241">
        <v>0</v>
      </c>
    </row>
    <row r="1242" spans="4:19" x14ac:dyDescent="0.3">
      <c r="D1242">
        <v>6152480</v>
      </c>
      <c r="F1242">
        <f t="shared" si="19"/>
        <v>134</v>
      </c>
      <c r="N1242">
        <v>134</v>
      </c>
      <c r="O1242">
        <v>0</v>
      </c>
      <c r="P1242">
        <v>0</v>
      </c>
      <c r="Q1242">
        <v>0</v>
      </c>
      <c r="R1242">
        <v>0</v>
      </c>
      <c r="S1242">
        <v>0</v>
      </c>
    </row>
    <row r="1243" spans="4:19" x14ac:dyDescent="0.3">
      <c r="D1243">
        <v>6152481</v>
      </c>
      <c r="F1243">
        <f t="shared" si="19"/>
        <v>466</v>
      </c>
      <c r="N1243">
        <v>466</v>
      </c>
      <c r="O1243">
        <v>0</v>
      </c>
      <c r="P1243">
        <v>0</v>
      </c>
      <c r="Q1243">
        <v>0</v>
      </c>
      <c r="R1243">
        <v>0</v>
      </c>
      <c r="S1243">
        <v>0</v>
      </c>
    </row>
    <row r="1244" spans="4:19" x14ac:dyDescent="0.3">
      <c r="D1244">
        <v>6154490</v>
      </c>
      <c r="F1244">
        <f t="shared" si="19"/>
        <v>271</v>
      </c>
      <c r="N1244">
        <v>271</v>
      </c>
      <c r="O1244">
        <v>0</v>
      </c>
      <c r="P1244">
        <v>0</v>
      </c>
      <c r="Q1244">
        <v>0</v>
      </c>
      <c r="R1244">
        <v>0</v>
      </c>
      <c r="S1244">
        <v>0</v>
      </c>
    </row>
    <row r="1245" spans="4:19" x14ac:dyDescent="0.3">
      <c r="D1245">
        <v>6154503</v>
      </c>
      <c r="F1245">
        <f t="shared" si="19"/>
        <v>15</v>
      </c>
      <c r="N1245">
        <v>15</v>
      </c>
      <c r="O1245">
        <v>0</v>
      </c>
      <c r="P1245">
        <v>0</v>
      </c>
      <c r="Q1245">
        <v>0</v>
      </c>
      <c r="R1245">
        <v>0</v>
      </c>
      <c r="S1245">
        <v>0</v>
      </c>
    </row>
    <row r="1246" spans="4:19" x14ac:dyDescent="0.3">
      <c r="D1246">
        <v>6202960</v>
      </c>
      <c r="F1246">
        <f t="shared" si="19"/>
        <v>20</v>
      </c>
      <c r="N1246">
        <v>20</v>
      </c>
      <c r="O1246">
        <v>0</v>
      </c>
      <c r="P1246">
        <v>0</v>
      </c>
      <c r="Q1246">
        <v>0</v>
      </c>
      <c r="R1246">
        <v>0</v>
      </c>
      <c r="S1246">
        <v>0</v>
      </c>
    </row>
    <row r="1247" spans="4:19" x14ac:dyDescent="0.3">
      <c r="D1247">
        <v>6203054</v>
      </c>
      <c r="F1247">
        <f t="shared" si="19"/>
        <v>90</v>
      </c>
      <c r="N1247">
        <v>90</v>
      </c>
      <c r="O1247">
        <v>0</v>
      </c>
      <c r="P1247">
        <v>0</v>
      </c>
      <c r="Q1247">
        <v>0</v>
      </c>
      <c r="R1247">
        <v>0</v>
      </c>
      <c r="S1247">
        <v>0</v>
      </c>
    </row>
    <row r="1248" spans="4:19" x14ac:dyDescent="0.3">
      <c r="D1248">
        <v>6204232</v>
      </c>
      <c r="F1248">
        <f t="shared" si="19"/>
        <v>78</v>
      </c>
      <c r="N1248">
        <v>78</v>
      </c>
      <c r="O1248">
        <v>0</v>
      </c>
      <c r="P1248">
        <v>0</v>
      </c>
      <c r="Q1248">
        <v>0</v>
      </c>
      <c r="R1248">
        <v>0</v>
      </c>
      <c r="S1248">
        <v>0</v>
      </c>
    </row>
    <row r="1249" spans="4:19" x14ac:dyDescent="0.3">
      <c r="D1249">
        <v>6034007</v>
      </c>
      <c r="F1249">
        <f t="shared" si="19"/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</row>
    <row r="1250" spans="4:19" x14ac:dyDescent="0.3">
      <c r="D1250">
        <v>6056530</v>
      </c>
      <c r="F1250">
        <f t="shared" si="19"/>
        <v>91</v>
      </c>
      <c r="N1250">
        <v>91</v>
      </c>
      <c r="O1250">
        <v>0</v>
      </c>
      <c r="P1250">
        <v>0</v>
      </c>
      <c r="Q1250">
        <v>0</v>
      </c>
      <c r="R1250">
        <v>0</v>
      </c>
      <c r="S1250">
        <v>0</v>
      </c>
    </row>
    <row r="1251" spans="4:19" x14ac:dyDescent="0.3">
      <c r="D1251">
        <v>6252051</v>
      </c>
      <c r="F1251">
        <f t="shared" si="19"/>
        <v>21</v>
      </c>
      <c r="N1251">
        <v>21</v>
      </c>
      <c r="O1251">
        <v>0</v>
      </c>
      <c r="P1251">
        <v>0</v>
      </c>
      <c r="Q1251">
        <v>0</v>
      </c>
      <c r="R1251">
        <v>0</v>
      </c>
      <c r="S1251">
        <v>0</v>
      </c>
    </row>
    <row r="1252" spans="4:19" x14ac:dyDescent="0.3">
      <c r="D1252">
        <v>6504847</v>
      </c>
      <c r="F1252">
        <f t="shared" si="19"/>
        <v>12</v>
      </c>
      <c r="N1252">
        <v>12</v>
      </c>
      <c r="O1252">
        <v>0</v>
      </c>
      <c r="P1252">
        <v>0</v>
      </c>
      <c r="Q1252">
        <v>0</v>
      </c>
      <c r="R1252">
        <v>0</v>
      </c>
      <c r="S1252">
        <v>0</v>
      </c>
    </row>
    <row r="1253" spans="4:19" x14ac:dyDescent="0.3">
      <c r="D1253">
        <v>5816274</v>
      </c>
      <c r="F1253">
        <f t="shared" si="19"/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</row>
    <row r="1254" spans="4:19" x14ac:dyDescent="0.3">
      <c r="D1254" t="s">
        <v>13</v>
      </c>
      <c r="F1254">
        <f t="shared" si="19"/>
        <v>41</v>
      </c>
      <c r="N1254">
        <v>41</v>
      </c>
      <c r="O1254">
        <v>0</v>
      </c>
      <c r="P1254">
        <v>0</v>
      </c>
      <c r="Q1254">
        <v>0</v>
      </c>
      <c r="R1254">
        <v>0</v>
      </c>
      <c r="S1254">
        <v>0</v>
      </c>
    </row>
    <row r="1255" spans="4:19" x14ac:dyDescent="0.3">
      <c r="D1255">
        <v>6255004</v>
      </c>
      <c r="F1255">
        <f t="shared" si="19"/>
        <v>20</v>
      </c>
      <c r="N1255">
        <v>18</v>
      </c>
      <c r="O1255">
        <v>2</v>
      </c>
      <c r="P1255">
        <v>0</v>
      </c>
      <c r="Q1255">
        <v>0</v>
      </c>
      <c r="R1255">
        <v>0</v>
      </c>
      <c r="S1255">
        <v>0</v>
      </c>
    </row>
    <row r="1256" spans="4:19" x14ac:dyDescent="0.3">
      <c r="D1256">
        <v>6503720</v>
      </c>
      <c r="F1256">
        <f t="shared" si="19"/>
        <v>2</v>
      </c>
      <c r="N1256">
        <v>2</v>
      </c>
      <c r="O1256">
        <v>0</v>
      </c>
      <c r="P1256">
        <v>0</v>
      </c>
      <c r="Q1256">
        <v>0</v>
      </c>
      <c r="R1256">
        <v>0</v>
      </c>
      <c r="S1256">
        <v>0</v>
      </c>
    </row>
    <row r="1257" spans="4:19" x14ac:dyDescent="0.3">
      <c r="D1257">
        <v>5704495</v>
      </c>
      <c r="F1257">
        <f t="shared" si="19"/>
        <v>6</v>
      </c>
      <c r="N1257">
        <v>6</v>
      </c>
      <c r="O1257">
        <v>0</v>
      </c>
      <c r="P1257">
        <v>0</v>
      </c>
      <c r="Q1257">
        <v>0</v>
      </c>
      <c r="R1257">
        <v>0</v>
      </c>
      <c r="S1257">
        <v>0</v>
      </c>
    </row>
    <row r="1258" spans="4:19" x14ac:dyDescent="0.3">
      <c r="D1258">
        <v>6056326</v>
      </c>
      <c r="F1258">
        <f t="shared" si="19"/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</row>
    <row r="1259" spans="4:19" x14ac:dyDescent="0.3">
      <c r="D1259">
        <v>6056327</v>
      </c>
      <c r="F1259">
        <f t="shared" si="19"/>
        <v>1</v>
      </c>
      <c r="N1259">
        <v>1</v>
      </c>
      <c r="O1259">
        <v>0</v>
      </c>
      <c r="P1259">
        <v>0</v>
      </c>
      <c r="Q1259">
        <v>0</v>
      </c>
      <c r="R1259">
        <v>0</v>
      </c>
      <c r="S1259">
        <v>0</v>
      </c>
    </row>
    <row r="1260" spans="4:19" x14ac:dyDescent="0.3">
      <c r="D1260">
        <v>6604241</v>
      </c>
      <c r="F1260">
        <f t="shared" si="19"/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</row>
    <row r="1261" spans="4:19" x14ac:dyDescent="0.3">
      <c r="D1261">
        <v>6032513</v>
      </c>
      <c r="F1261">
        <f t="shared" si="19"/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</row>
    <row r="1262" spans="4:19" x14ac:dyDescent="0.3">
      <c r="D1262">
        <v>6056889</v>
      </c>
      <c r="F1262">
        <f t="shared" si="19"/>
        <v>170</v>
      </c>
      <c r="N1262">
        <v>170</v>
      </c>
      <c r="O1262">
        <v>0</v>
      </c>
      <c r="P1262">
        <v>0</v>
      </c>
      <c r="Q1262">
        <v>0</v>
      </c>
      <c r="R1262">
        <v>0</v>
      </c>
      <c r="S1262">
        <v>0</v>
      </c>
    </row>
    <row r="1263" spans="4:19" x14ac:dyDescent="0.3">
      <c r="D1263">
        <v>6822987</v>
      </c>
      <c r="F1263">
        <f t="shared" si="19"/>
        <v>13</v>
      </c>
      <c r="N1263">
        <v>13</v>
      </c>
      <c r="O1263">
        <v>0</v>
      </c>
      <c r="P1263">
        <v>0</v>
      </c>
      <c r="Q1263">
        <v>0</v>
      </c>
      <c r="R1263">
        <v>0</v>
      </c>
      <c r="S1263">
        <v>0</v>
      </c>
    </row>
    <row r="1264" spans="4:19" x14ac:dyDescent="0.3">
      <c r="D1264">
        <v>6012780</v>
      </c>
      <c r="F1264">
        <f t="shared" si="19"/>
        <v>41</v>
      </c>
      <c r="N1264">
        <v>41</v>
      </c>
      <c r="O1264">
        <v>0</v>
      </c>
      <c r="P1264">
        <v>0</v>
      </c>
      <c r="Q1264">
        <v>0</v>
      </c>
      <c r="R1264">
        <v>0</v>
      </c>
      <c r="S1264">
        <v>0</v>
      </c>
    </row>
    <row r="1265" spans="4:19" x14ac:dyDescent="0.3">
      <c r="D1265">
        <v>6508818</v>
      </c>
      <c r="F1265">
        <f t="shared" si="19"/>
        <v>7</v>
      </c>
      <c r="N1265">
        <v>7</v>
      </c>
      <c r="O1265">
        <v>0</v>
      </c>
      <c r="P1265">
        <v>0</v>
      </c>
      <c r="Q1265">
        <v>0</v>
      </c>
      <c r="R1265">
        <v>0</v>
      </c>
      <c r="S1265">
        <v>0</v>
      </c>
    </row>
    <row r="1266" spans="4:19" x14ac:dyDescent="0.3">
      <c r="D1266">
        <v>6162939</v>
      </c>
      <c r="F1266">
        <f t="shared" si="19"/>
        <v>25</v>
      </c>
      <c r="N1266">
        <v>25</v>
      </c>
      <c r="O1266">
        <v>0</v>
      </c>
      <c r="P1266">
        <v>0</v>
      </c>
      <c r="Q1266">
        <v>0</v>
      </c>
      <c r="R1266">
        <v>0</v>
      </c>
      <c r="S1266">
        <v>0</v>
      </c>
    </row>
    <row r="1267" spans="4:19" x14ac:dyDescent="0.3">
      <c r="D1267">
        <v>6057028</v>
      </c>
      <c r="F1267">
        <f t="shared" si="19"/>
        <v>21</v>
      </c>
      <c r="N1267">
        <v>21</v>
      </c>
      <c r="O1267">
        <v>0</v>
      </c>
      <c r="P1267">
        <v>0</v>
      </c>
      <c r="Q1267">
        <v>0</v>
      </c>
      <c r="R1267">
        <v>0</v>
      </c>
      <c r="S1267">
        <v>0</v>
      </c>
    </row>
    <row r="1268" spans="4:19" x14ac:dyDescent="0.3">
      <c r="D1268">
        <v>6056449</v>
      </c>
      <c r="F1268">
        <f t="shared" si="19"/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</row>
    <row r="1269" spans="4:19" x14ac:dyDescent="0.3">
      <c r="D1269">
        <v>6056871</v>
      </c>
      <c r="F1269">
        <f t="shared" si="19"/>
        <v>22</v>
      </c>
      <c r="N1269">
        <v>22</v>
      </c>
      <c r="O1269">
        <v>0</v>
      </c>
      <c r="P1269">
        <v>0</v>
      </c>
      <c r="Q1269">
        <v>0</v>
      </c>
      <c r="R1269">
        <v>0</v>
      </c>
      <c r="S1269">
        <v>0</v>
      </c>
    </row>
    <row r="1270" spans="4:19" x14ac:dyDescent="0.3">
      <c r="D1270">
        <v>6016604</v>
      </c>
      <c r="F1270">
        <f t="shared" si="19"/>
        <v>21</v>
      </c>
      <c r="N1270">
        <v>21</v>
      </c>
      <c r="O1270">
        <v>0</v>
      </c>
      <c r="P1270">
        <v>0</v>
      </c>
      <c r="Q1270">
        <v>0</v>
      </c>
      <c r="R1270">
        <v>0</v>
      </c>
      <c r="S1270">
        <v>0</v>
      </c>
    </row>
    <row r="1271" spans="4:19" x14ac:dyDescent="0.3">
      <c r="D1271">
        <v>6056555</v>
      </c>
      <c r="F1271">
        <f t="shared" si="19"/>
        <v>116</v>
      </c>
      <c r="N1271">
        <v>116</v>
      </c>
      <c r="O1271">
        <v>0</v>
      </c>
      <c r="P1271">
        <v>0</v>
      </c>
      <c r="Q1271">
        <v>0</v>
      </c>
      <c r="R1271">
        <v>0</v>
      </c>
      <c r="S1271">
        <v>0</v>
      </c>
    </row>
    <row r="1272" spans="4:19" x14ac:dyDescent="0.3">
      <c r="D1272">
        <v>6056604</v>
      </c>
      <c r="F1272">
        <f t="shared" si="19"/>
        <v>11</v>
      </c>
      <c r="N1272">
        <v>11</v>
      </c>
      <c r="O1272">
        <v>0</v>
      </c>
      <c r="P1272">
        <v>0</v>
      </c>
      <c r="Q1272">
        <v>0</v>
      </c>
      <c r="R1272">
        <v>0</v>
      </c>
      <c r="S1272">
        <v>0</v>
      </c>
    </row>
    <row r="1273" spans="4:19" x14ac:dyDescent="0.3">
      <c r="D1273">
        <v>6056647</v>
      </c>
      <c r="F1273">
        <f t="shared" si="19"/>
        <v>3</v>
      </c>
      <c r="N1273">
        <v>3</v>
      </c>
      <c r="O1273">
        <v>0</v>
      </c>
      <c r="P1273">
        <v>0</v>
      </c>
      <c r="Q1273">
        <v>0</v>
      </c>
      <c r="R1273">
        <v>0</v>
      </c>
      <c r="S1273">
        <v>0</v>
      </c>
    </row>
    <row r="1274" spans="4:19" x14ac:dyDescent="0.3">
      <c r="D1274">
        <v>6504846</v>
      </c>
      <c r="F1274">
        <f t="shared" si="19"/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</row>
    <row r="1275" spans="4:19" x14ac:dyDescent="0.3">
      <c r="D1275">
        <v>6823017</v>
      </c>
      <c r="F1275">
        <f t="shared" si="19"/>
        <v>3</v>
      </c>
      <c r="N1275">
        <v>3</v>
      </c>
      <c r="O1275">
        <v>0</v>
      </c>
      <c r="P1275">
        <v>0</v>
      </c>
      <c r="Q1275">
        <v>0</v>
      </c>
      <c r="R1275">
        <v>0</v>
      </c>
      <c r="S1275">
        <v>0</v>
      </c>
    </row>
    <row r="1276" spans="4:19" x14ac:dyDescent="0.3">
      <c r="D1276">
        <v>6056584</v>
      </c>
      <c r="F1276">
        <f t="shared" si="19"/>
        <v>24</v>
      </c>
      <c r="N1276">
        <v>24</v>
      </c>
      <c r="O1276">
        <v>0</v>
      </c>
      <c r="P1276">
        <v>0</v>
      </c>
      <c r="Q1276">
        <v>0</v>
      </c>
      <c r="R1276">
        <v>0</v>
      </c>
      <c r="S1276">
        <v>0</v>
      </c>
    </row>
    <row r="1277" spans="4:19" x14ac:dyDescent="0.3">
      <c r="D1277">
        <v>6016003</v>
      </c>
      <c r="F1277">
        <f t="shared" si="19"/>
        <v>10</v>
      </c>
      <c r="N1277">
        <v>10</v>
      </c>
      <c r="O1277">
        <v>0</v>
      </c>
      <c r="P1277">
        <v>0</v>
      </c>
      <c r="Q1277">
        <v>0</v>
      </c>
      <c r="R1277">
        <v>0</v>
      </c>
      <c r="S1277">
        <v>0</v>
      </c>
    </row>
    <row r="1278" spans="4:19" x14ac:dyDescent="0.3">
      <c r="D1278">
        <v>6016610</v>
      </c>
      <c r="F1278">
        <f t="shared" si="19"/>
        <v>25</v>
      </c>
      <c r="N1278">
        <v>25</v>
      </c>
      <c r="O1278">
        <v>0</v>
      </c>
      <c r="P1278">
        <v>0</v>
      </c>
      <c r="Q1278">
        <v>0</v>
      </c>
      <c r="R1278">
        <v>0</v>
      </c>
      <c r="S1278">
        <v>0</v>
      </c>
    </row>
    <row r="1279" spans="4:19" x14ac:dyDescent="0.3">
      <c r="D1279" t="s">
        <v>38</v>
      </c>
      <c r="F1279">
        <f t="shared" si="19"/>
        <v>7</v>
      </c>
      <c r="N1279">
        <v>7</v>
      </c>
      <c r="O1279">
        <v>0</v>
      </c>
      <c r="P1279">
        <v>0</v>
      </c>
      <c r="Q1279">
        <v>0</v>
      </c>
      <c r="R1279">
        <v>0</v>
      </c>
      <c r="S1279">
        <v>0</v>
      </c>
    </row>
    <row r="1280" spans="4:19" x14ac:dyDescent="0.3">
      <c r="D1280">
        <v>6016606</v>
      </c>
      <c r="F1280">
        <f t="shared" si="19"/>
        <v>73</v>
      </c>
      <c r="N1280">
        <v>73</v>
      </c>
      <c r="O1280">
        <v>0</v>
      </c>
      <c r="P1280">
        <v>0</v>
      </c>
      <c r="Q1280">
        <v>0</v>
      </c>
      <c r="R1280">
        <v>0</v>
      </c>
      <c r="S1280">
        <v>0</v>
      </c>
    </row>
    <row r="1281" spans="4:19" x14ac:dyDescent="0.3">
      <c r="D1281">
        <v>6056537</v>
      </c>
      <c r="F1281">
        <f t="shared" si="19"/>
        <v>88</v>
      </c>
      <c r="N1281">
        <v>88</v>
      </c>
      <c r="O1281">
        <v>0</v>
      </c>
      <c r="P1281">
        <v>0</v>
      </c>
      <c r="Q1281">
        <v>0</v>
      </c>
      <c r="R1281">
        <v>0</v>
      </c>
      <c r="S1281">
        <v>0</v>
      </c>
    </row>
    <row r="1282" spans="4:19" x14ac:dyDescent="0.3">
      <c r="D1282">
        <v>6503716</v>
      </c>
      <c r="F1282">
        <f t="shared" si="19"/>
        <v>2</v>
      </c>
      <c r="N1282">
        <v>2</v>
      </c>
      <c r="O1282">
        <v>0</v>
      </c>
      <c r="P1282">
        <v>0</v>
      </c>
      <c r="Q1282">
        <v>0</v>
      </c>
      <c r="R1282">
        <v>0</v>
      </c>
      <c r="S1282">
        <v>0</v>
      </c>
    </row>
    <row r="1283" spans="4:19" x14ac:dyDescent="0.3">
      <c r="D1283">
        <v>6017616</v>
      </c>
      <c r="F1283">
        <f t="shared" ref="F1283:F1346" si="20">SUMIF(N1283:S1283,"&gt;=0")</f>
        <v>29</v>
      </c>
      <c r="N1283">
        <v>29</v>
      </c>
      <c r="O1283">
        <v>0</v>
      </c>
      <c r="P1283">
        <v>0</v>
      </c>
      <c r="Q1283">
        <v>0</v>
      </c>
      <c r="R1283">
        <v>0</v>
      </c>
      <c r="S1283">
        <v>0</v>
      </c>
    </row>
    <row r="1284" spans="4:19" x14ac:dyDescent="0.3">
      <c r="D1284">
        <v>6052634</v>
      </c>
      <c r="F1284">
        <f t="shared" si="20"/>
        <v>7</v>
      </c>
      <c r="N1284">
        <v>7</v>
      </c>
      <c r="O1284">
        <v>0</v>
      </c>
      <c r="P1284">
        <v>0</v>
      </c>
      <c r="Q1284">
        <v>0</v>
      </c>
      <c r="R1284">
        <v>0</v>
      </c>
      <c r="S1284">
        <v>0</v>
      </c>
    </row>
    <row r="1285" spans="4:19" x14ac:dyDescent="0.3">
      <c r="D1285">
        <v>6604244</v>
      </c>
      <c r="F1285">
        <f t="shared" si="20"/>
        <v>120</v>
      </c>
      <c r="N1285">
        <v>120</v>
      </c>
      <c r="O1285">
        <v>0</v>
      </c>
      <c r="P1285">
        <v>0</v>
      </c>
      <c r="Q1285">
        <v>0</v>
      </c>
      <c r="R1285">
        <v>0</v>
      </c>
      <c r="S1285">
        <v>0</v>
      </c>
    </row>
    <row r="1286" spans="4:19" x14ac:dyDescent="0.3">
      <c r="D1286">
        <v>6202811</v>
      </c>
      <c r="F1286">
        <f t="shared" si="20"/>
        <v>12</v>
      </c>
      <c r="N1286">
        <v>12</v>
      </c>
      <c r="O1286">
        <v>0</v>
      </c>
      <c r="P1286">
        <v>0</v>
      </c>
      <c r="Q1286">
        <v>0</v>
      </c>
      <c r="R1286">
        <v>0</v>
      </c>
      <c r="S1286">
        <v>0</v>
      </c>
    </row>
    <row r="1287" spans="4:19" x14ac:dyDescent="0.3">
      <c r="D1287">
        <v>2692063</v>
      </c>
      <c r="F1287">
        <f t="shared" si="20"/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</row>
    <row r="1288" spans="4:19" x14ac:dyDescent="0.3">
      <c r="D1288">
        <v>6405007</v>
      </c>
      <c r="F1288">
        <f t="shared" si="20"/>
        <v>98</v>
      </c>
      <c r="N1288">
        <v>98</v>
      </c>
      <c r="O1288">
        <v>0</v>
      </c>
      <c r="P1288">
        <v>0</v>
      </c>
      <c r="Q1288">
        <v>0</v>
      </c>
      <c r="R1288">
        <v>0</v>
      </c>
      <c r="S1288">
        <v>0</v>
      </c>
    </row>
    <row r="1289" spans="4:19" x14ac:dyDescent="0.3">
      <c r="D1289">
        <v>6502652</v>
      </c>
      <c r="F1289">
        <f t="shared" si="20"/>
        <v>2</v>
      </c>
      <c r="N1289">
        <v>2</v>
      </c>
      <c r="O1289">
        <v>0</v>
      </c>
      <c r="P1289">
        <v>0</v>
      </c>
      <c r="Q1289">
        <v>0</v>
      </c>
      <c r="R1289">
        <v>0</v>
      </c>
      <c r="S1289">
        <v>0</v>
      </c>
    </row>
    <row r="1290" spans="4:19" x14ac:dyDescent="0.3">
      <c r="D1290">
        <v>6503715</v>
      </c>
      <c r="F1290">
        <f t="shared" si="20"/>
        <v>10</v>
      </c>
      <c r="N1290">
        <v>10</v>
      </c>
      <c r="O1290">
        <v>0</v>
      </c>
      <c r="P1290">
        <v>0</v>
      </c>
      <c r="Q1290">
        <v>0</v>
      </c>
      <c r="R1290">
        <v>0</v>
      </c>
      <c r="S1290">
        <v>0</v>
      </c>
    </row>
    <row r="1291" spans="4:19" x14ac:dyDescent="0.3">
      <c r="D1291">
        <v>6505809</v>
      </c>
      <c r="F1291">
        <f t="shared" si="20"/>
        <v>3</v>
      </c>
      <c r="N1291">
        <v>3</v>
      </c>
      <c r="O1291">
        <v>0</v>
      </c>
      <c r="P1291">
        <v>0</v>
      </c>
      <c r="Q1291">
        <v>0</v>
      </c>
      <c r="R1291">
        <v>0</v>
      </c>
      <c r="S1291">
        <v>0</v>
      </c>
    </row>
    <row r="1292" spans="4:19" x14ac:dyDescent="0.3">
      <c r="D1292">
        <v>5817105</v>
      </c>
      <c r="F1292">
        <f t="shared" si="20"/>
        <v>1</v>
      </c>
      <c r="N1292">
        <v>1</v>
      </c>
      <c r="O1292">
        <v>0</v>
      </c>
      <c r="P1292">
        <v>0</v>
      </c>
      <c r="Q1292">
        <v>0</v>
      </c>
      <c r="R1292">
        <v>0</v>
      </c>
      <c r="S1292">
        <v>0</v>
      </c>
    </row>
    <row r="1293" spans="4:19" x14ac:dyDescent="0.3">
      <c r="D1293" t="s">
        <v>172</v>
      </c>
      <c r="F1293">
        <f t="shared" si="20"/>
        <v>12</v>
      </c>
      <c r="N1293">
        <v>12</v>
      </c>
      <c r="O1293">
        <v>0</v>
      </c>
      <c r="P1293">
        <v>0</v>
      </c>
      <c r="Q1293">
        <v>0</v>
      </c>
      <c r="R1293">
        <v>0</v>
      </c>
      <c r="S1293">
        <v>0</v>
      </c>
    </row>
    <row r="1294" spans="4:19" x14ac:dyDescent="0.3">
      <c r="D1294">
        <v>6017698</v>
      </c>
      <c r="F1294">
        <f t="shared" si="20"/>
        <v>179</v>
      </c>
      <c r="N1294">
        <v>179</v>
      </c>
      <c r="O1294">
        <v>0</v>
      </c>
      <c r="P1294">
        <v>0</v>
      </c>
      <c r="Q1294">
        <v>0</v>
      </c>
      <c r="R1294">
        <v>0</v>
      </c>
      <c r="S1294">
        <v>0</v>
      </c>
    </row>
    <row r="1295" spans="4:19" x14ac:dyDescent="0.3">
      <c r="D1295">
        <v>6051006900</v>
      </c>
      <c r="F1295">
        <f t="shared" si="20"/>
        <v>24</v>
      </c>
      <c r="N1295">
        <v>24</v>
      </c>
      <c r="O1295">
        <v>0</v>
      </c>
      <c r="P1295">
        <v>0</v>
      </c>
      <c r="Q1295">
        <v>0</v>
      </c>
      <c r="R1295">
        <v>0</v>
      </c>
      <c r="S1295">
        <v>0</v>
      </c>
    </row>
    <row r="1296" spans="4:19" x14ac:dyDescent="0.3">
      <c r="D1296">
        <v>6602269</v>
      </c>
      <c r="F1296">
        <f t="shared" si="20"/>
        <v>143</v>
      </c>
      <c r="N1296">
        <v>143</v>
      </c>
      <c r="O1296">
        <v>0</v>
      </c>
      <c r="P1296">
        <v>0</v>
      </c>
      <c r="Q1296">
        <v>0</v>
      </c>
      <c r="R1296">
        <v>0</v>
      </c>
      <c r="S1296">
        <v>0</v>
      </c>
    </row>
    <row r="1297" spans="4:19" x14ac:dyDescent="0.3">
      <c r="D1297">
        <v>6604185</v>
      </c>
      <c r="F1297">
        <f t="shared" si="20"/>
        <v>21</v>
      </c>
      <c r="N1297">
        <v>21</v>
      </c>
      <c r="O1297">
        <v>0</v>
      </c>
      <c r="P1297">
        <v>0</v>
      </c>
      <c r="Q1297">
        <v>0</v>
      </c>
      <c r="R1297">
        <v>0</v>
      </c>
      <c r="S1297">
        <v>0</v>
      </c>
    </row>
    <row r="1298" spans="4:19" x14ac:dyDescent="0.3">
      <c r="D1298">
        <v>6823366</v>
      </c>
      <c r="F1298">
        <f t="shared" si="20"/>
        <v>97</v>
      </c>
      <c r="N1298">
        <v>97</v>
      </c>
      <c r="O1298">
        <v>0</v>
      </c>
      <c r="P1298">
        <v>0</v>
      </c>
      <c r="Q1298">
        <v>0</v>
      </c>
      <c r="R1298">
        <v>0</v>
      </c>
      <c r="S1298">
        <v>0</v>
      </c>
    </row>
    <row r="1299" spans="4:19" x14ac:dyDescent="0.3">
      <c r="D1299">
        <v>6050199</v>
      </c>
      <c r="F1299">
        <f t="shared" si="20"/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</row>
    <row r="1300" spans="4:19" x14ac:dyDescent="0.3">
      <c r="D1300">
        <v>6503836</v>
      </c>
      <c r="F1300">
        <f t="shared" si="20"/>
        <v>3</v>
      </c>
      <c r="N1300">
        <v>3</v>
      </c>
      <c r="O1300">
        <v>0</v>
      </c>
      <c r="P1300">
        <v>0</v>
      </c>
      <c r="Q1300">
        <v>0</v>
      </c>
      <c r="R1300">
        <v>0</v>
      </c>
      <c r="S1300">
        <v>0</v>
      </c>
    </row>
    <row r="1301" spans="4:19" x14ac:dyDescent="0.3">
      <c r="D1301">
        <v>6504858</v>
      </c>
      <c r="F1301">
        <f t="shared" si="20"/>
        <v>12</v>
      </c>
      <c r="N1301">
        <v>12</v>
      </c>
      <c r="O1301">
        <v>0</v>
      </c>
      <c r="P1301">
        <v>0</v>
      </c>
      <c r="Q1301">
        <v>0</v>
      </c>
      <c r="R1301">
        <v>0</v>
      </c>
      <c r="S1301">
        <v>0</v>
      </c>
    </row>
    <row r="1302" spans="4:19" x14ac:dyDescent="0.3">
      <c r="D1302">
        <v>6600301</v>
      </c>
      <c r="F1302">
        <f t="shared" si="20"/>
        <v>1</v>
      </c>
      <c r="N1302">
        <v>1</v>
      </c>
      <c r="O1302">
        <v>0</v>
      </c>
      <c r="P1302">
        <v>0</v>
      </c>
      <c r="Q1302">
        <v>0</v>
      </c>
      <c r="R1302">
        <v>0</v>
      </c>
      <c r="S1302">
        <v>0</v>
      </c>
    </row>
    <row r="1303" spans="4:19" x14ac:dyDescent="0.3">
      <c r="D1303">
        <v>6823364</v>
      </c>
      <c r="F1303">
        <f t="shared" si="20"/>
        <v>44</v>
      </c>
      <c r="N1303">
        <v>44</v>
      </c>
      <c r="O1303">
        <v>0</v>
      </c>
      <c r="P1303">
        <v>0</v>
      </c>
      <c r="Q1303">
        <v>0</v>
      </c>
      <c r="R1303">
        <v>0</v>
      </c>
      <c r="S1303">
        <v>0</v>
      </c>
    </row>
    <row r="1304" spans="4:19" x14ac:dyDescent="0.3">
      <c r="D1304">
        <v>5503544</v>
      </c>
      <c r="F1304">
        <f t="shared" si="20"/>
        <v>4</v>
      </c>
      <c r="N1304">
        <v>4</v>
      </c>
      <c r="O1304">
        <v>0</v>
      </c>
      <c r="P1304">
        <v>0</v>
      </c>
      <c r="Q1304">
        <v>0</v>
      </c>
      <c r="R1304">
        <v>0</v>
      </c>
      <c r="S1304">
        <v>0</v>
      </c>
    </row>
    <row r="1305" spans="4:19" x14ac:dyDescent="0.3">
      <c r="D1305">
        <v>6152497</v>
      </c>
      <c r="F1305">
        <f t="shared" si="20"/>
        <v>1</v>
      </c>
      <c r="N1305">
        <v>1</v>
      </c>
      <c r="O1305">
        <v>0</v>
      </c>
      <c r="P1305">
        <v>0</v>
      </c>
      <c r="Q1305">
        <v>0</v>
      </c>
      <c r="R1305">
        <v>0</v>
      </c>
      <c r="S1305">
        <v>0</v>
      </c>
    </row>
    <row r="1306" spans="4:19" x14ac:dyDescent="0.3">
      <c r="D1306">
        <v>6402550</v>
      </c>
      <c r="F1306">
        <f t="shared" si="20"/>
        <v>47</v>
      </c>
      <c r="N1306">
        <v>47</v>
      </c>
      <c r="O1306">
        <v>0</v>
      </c>
      <c r="P1306">
        <v>0</v>
      </c>
      <c r="Q1306">
        <v>0</v>
      </c>
      <c r="R1306">
        <v>0</v>
      </c>
      <c r="S1306">
        <v>0</v>
      </c>
    </row>
    <row r="1307" spans="4:19" x14ac:dyDescent="0.3">
      <c r="D1307">
        <v>6503714</v>
      </c>
      <c r="F1307">
        <f t="shared" si="20"/>
        <v>11</v>
      </c>
      <c r="N1307">
        <v>11</v>
      </c>
      <c r="O1307">
        <v>0</v>
      </c>
      <c r="P1307">
        <v>0</v>
      </c>
      <c r="Q1307">
        <v>0</v>
      </c>
      <c r="R1307">
        <v>0</v>
      </c>
      <c r="S1307">
        <v>0</v>
      </c>
    </row>
    <row r="1308" spans="4:19" x14ac:dyDescent="0.3">
      <c r="D1308">
        <v>6014499</v>
      </c>
      <c r="F1308">
        <f t="shared" si="20"/>
        <v>3</v>
      </c>
      <c r="N1308">
        <v>3</v>
      </c>
      <c r="O1308">
        <v>0</v>
      </c>
      <c r="P1308">
        <v>0</v>
      </c>
      <c r="Q1308">
        <v>0</v>
      </c>
      <c r="R1308">
        <v>0</v>
      </c>
      <c r="S1308">
        <v>0</v>
      </c>
    </row>
    <row r="1309" spans="4:19" x14ac:dyDescent="0.3">
      <c r="D1309">
        <v>6055349</v>
      </c>
      <c r="F1309">
        <f t="shared" si="20"/>
        <v>111</v>
      </c>
      <c r="N1309">
        <v>111</v>
      </c>
      <c r="O1309">
        <v>0</v>
      </c>
      <c r="P1309">
        <v>0</v>
      </c>
      <c r="Q1309">
        <v>0</v>
      </c>
      <c r="R1309">
        <v>0</v>
      </c>
      <c r="S1309">
        <v>0</v>
      </c>
    </row>
    <row r="1310" spans="4:19" x14ac:dyDescent="0.3">
      <c r="D1310">
        <v>6056586</v>
      </c>
      <c r="F1310">
        <f t="shared" si="20"/>
        <v>60</v>
      </c>
      <c r="N1310">
        <v>60</v>
      </c>
      <c r="O1310">
        <v>0</v>
      </c>
      <c r="P1310">
        <v>0</v>
      </c>
      <c r="Q1310">
        <v>0</v>
      </c>
      <c r="R1310">
        <v>0</v>
      </c>
      <c r="S1310">
        <v>0</v>
      </c>
    </row>
    <row r="1311" spans="4:19" x14ac:dyDescent="0.3">
      <c r="D1311">
        <v>6056539</v>
      </c>
      <c r="F1311">
        <f t="shared" si="20"/>
        <v>48</v>
      </c>
      <c r="N1311">
        <v>48</v>
      </c>
      <c r="O1311">
        <v>0</v>
      </c>
      <c r="P1311">
        <v>0</v>
      </c>
      <c r="Q1311">
        <v>0</v>
      </c>
      <c r="R1311">
        <v>0</v>
      </c>
      <c r="S1311">
        <v>0</v>
      </c>
    </row>
    <row r="1312" spans="4:19" x14ac:dyDescent="0.3">
      <c r="D1312">
        <v>6502595</v>
      </c>
      <c r="F1312">
        <f t="shared" si="20"/>
        <v>11</v>
      </c>
      <c r="N1312">
        <v>11</v>
      </c>
      <c r="O1312">
        <v>0</v>
      </c>
      <c r="P1312">
        <v>0</v>
      </c>
      <c r="Q1312">
        <v>0</v>
      </c>
      <c r="R1312">
        <v>0</v>
      </c>
      <c r="S1312">
        <v>0</v>
      </c>
    </row>
    <row r="1313" spans="4:19" x14ac:dyDescent="0.3">
      <c r="D1313">
        <v>6604063</v>
      </c>
      <c r="F1313">
        <f t="shared" si="20"/>
        <v>58</v>
      </c>
      <c r="N1313">
        <v>58</v>
      </c>
      <c r="O1313">
        <v>0</v>
      </c>
      <c r="P1313">
        <v>0</v>
      </c>
      <c r="Q1313">
        <v>0</v>
      </c>
      <c r="R1313">
        <v>0</v>
      </c>
      <c r="S1313">
        <v>0</v>
      </c>
    </row>
    <row r="1314" spans="4:19" x14ac:dyDescent="0.3">
      <c r="D1314">
        <v>6112229</v>
      </c>
      <c r="F1314">
        <f t="shared" si="20"/>
        <v>11</v>
      </c>
      <c r="N1314">
        <v>11</v>
      </c>
      <c r="O1314">
        <v>0</v>
      </c>
      <c r="P1314">
        <v>0</v>
      </c>
      <c r="Q1314">
        <v>0</v>
      </c>
      <c r="R1314">
        <v>0</v>
      </c>
      <c r="S1314">
        <v>0</v>
      </c>
    </row>
    <row r="1315" spans="4:19" x14ac:dyDescent="0.3">
      <c r="D1315">
        <v>6153414</v>
      </c>
      <c r="F1315">
        <f t="shared" si="20"/>
        <v>3</v>
      </c>
      <c r="N1315">
        <v>3</v>
      </c>
      <c r="O1315">
        <v>0</v>
      </c>
      <c r="P1315">
        <v>0</v>
      </c>
      <c r="Q1315">
        <v>0</v>
      </c>
      <c r="R1315">
        <v>0</v>
      </c>
      <c r="S1315">
        <v>0</v>
      </c>
    </row>
    <row r="1316" spans="4:19" x14ac:dyDescent="0.3">
      <c r="D1316">
        <v>6452209</v>
      </c>
      <c r="F1316">
        <f t="shared" si="20"/>
        <v>1</v>
      </c>
      <c r="N1316">
        <v>1</v>
      </c>
      <c r="O1316">
        <v>0</v>
      </c>
      <c r="P1316">
        <v>0</v>
      </c>
      <c r="Q1316">
        <v>0</v>
      </c>
      <c r="R1316">
        <v>0</v>
      </c>
      <c r="S1316">
        <v>0</v>
      </c>
    </row>
    <row r="1317" spans="4:19" x14ac:dyDescent="0.3">
      <c r="D1317">
        <v>6502853</v>
      </c>
      <c r="F1317">
        <f t="shared" si="20"/>
        <v>11</v>
      </c>
      <c r="N1317">
        <v>11</v>
      </c>
      <c r="O1317">
        <v>0</v>
      </c>
      <c r="P1317">
        <v>0</v>
      </c>
      <c r="Q1317">
        <v>0</v>
      </c>
      <c r="R1317">
        <v>0</v>
      </c>
      <c r="S1317">
        <v>0</v>
      </c>
    </row>
    <row r="1318" spans="4:19" x14ac:dyDescent="0.3">
      <c r="D1318">
        <v>6044237</v>
      </c>
      <c r="F1318">
        <f t="shared" si="20"/>
        <v>1</v>
      </c>
      <c r="N1318">
        <v>1</v>
      </c>
      <c r="O1318">
        <v>0</v>
      </c>
      <c r="P1318">
        <v>0</v>
      </c>
      <c r="Q1318">
        <v>0</v>
      </c>
      <c r="R1318">
        <v>0</v>
      </c>
      <c r="S1318">
        <v>0</v>
      </c>
    </row>
    <row r="1319" spans="4:19" x14ac:dyDescent="0.3">
      <c r="D1319">
        <v>6051006400</v>
      </c>
      <c r="F1319">
        <f t="shared" si="20"/>
        <v>6</v>
      </c>
      <c r="N1319">
        <v>6</v>
      </c>
      <c r="O1319">
        <v>0</v>
      </c>
      <c r="P1319">
        <v>0</v>
      </c>
      <c r="Q1319">
        <v>0</v>
      </c>
      <c r="R1319">
        <v>0</v>
      </c>
      <c r="S1319">
        <v>0</v>
      </c>
    </row>
    <row r="1320" spans="4:19" x14ac:dyDescent="0.3">
      <c r="D1320">
        <v>6151170</v>
      </c>
      <c r="F1320">
        <f t="shared" si="20"/>
        <v>2</v>
      </c>
      <c r="N1320">
        <v>2</v>
      </c>
      <c r="O1320">
        <v>0</v>
      </c>
      <c r="P1320">
        <v>0</v>
      </c>
      <c r="Q1320">
        <v>0</v>
      </c>
      <c r="R1320">
        <v>0</v>
      </c>
      <c r="S1320">
        <v>0</v>
      </c>
    </row>
    <row r="1321" spans="4:19" x14ac:dyDescent="0.3">
      <c r="D1321">
        <v>6255002</v>
      </c>
      <c r="F1321">
        <f t="shared" si="20"/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</row>
    <row r="1322" spans="4:19" x14ac:dyDescent="0.3">
      <c r="D1322">
        <v>6255003</v>
      </c>
      <c r="F1322">
        <f t="shared" si="20"/>
        <v>21</v>
      </c>
      <c r="N1322">
        <v>21</v>
      </c>
      <c r="O1322">
        <v>0</v>
      </c>
      <c r="P1322">
        <v>0</v>
      </c>
      <c r="Q1322">
        <v>0</v>
      </c>
      <c r="R1322">
        <v>0</v>
      </c>
      <c r="S1322">
        <v>0</v>
      </c>
    </row>
    <row r="1323" spans="4:19" x14ac:dyDescent="0.3">
      <c r="D1323">
        <v>6503835</v>
      </c>
      <c r="F1323">
        <f t="shared" si="20"/>
        <v>4</v>
      </c>
      <c r="N1323">
        <v>4</v>
      </c>
      <c r="O1323">
        <v>0</v>
      </c>
      <c r="P1323">
        <v>0</v>
      </c>
      <c r="Q1323">
        <v>0</v>
      </c>
      <c r="R1323">
        <v>0</v>
      </c>
      <c r="S1323">
        <v>0</v>
      </c>
    </row>
    <row r="1324" spans="4:19" x14ac:dyDescent="0.3">
      <c r="D1324">
        <v>6052916</v>
      </c>
      <c r="F1324">
        <f t="shared" si="20"/>
        <v>7</v>
      </c>
      <c r="N1324">
        <v>7</v>
      </c>
      <c r="O1324">
        <v>0</v>
      </c>
      <c r="P1324">
        <v>0</v>
      </c>
      <c r="Q1324">
        <v>0</v>
      </c>
      <c r="R1324">
        <v>0</v>
      </c>
      <c r="S1324">
        <v>0</v>
      </c>
    </row>
    <row r="1325" spans="4:19" x14ac:dyDescent="0.3">
      <c r="D1325">
        <v>6056574</v>
      </c>
      <c r="F1325">
        <f t="shared" si="20"/>
        <v>13</v>
      </c>
      <c r="N1325">
        <v>13</v>
      </c>
      <c r="O1325">
        <v>0</v>
      </c>
      <c r="P1325">
        <v>0</v>
      </c>
      <c r="Q1325">
        <v>0</v>
      </c>
      <c r="R1325">
        <v>0</v>
      </c>
      <c r="S1325">
        <v>0</v>
      </c>
    </row>
    <row r="1326" spans="4:19" x14ac:dyDescent="0.3">
      <c r="D1326">
        <v>6056585</v>
      </c>
      <c r="F1326">
        <f t="shared" si="20"/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</row>
    <row r="1327" spans="4:19" x14ac:dyDescent="0.3">
      <c r="D1327">
        <v>6056605</v>
      </c>
      <c r="F1327">
        <f t="shared" si="20"/>
        <v>13</v>
      </c>
      <c r="N1327">
        <v>13</v>
      </c>
      <c r="O1327">
        <v>0</v>
      </c>
      <c r="P1327">
        <v>0</v>
      </c>
      <c r="Q1327">
        <v>0</v>
      </c>
      <c r="R1327">
        <v>0</v>
      </c>
      <c r="S1327">
        <v>0</v>
      </c>
    </row>
    <row r="1328" spans="4:19" x14ac:dyDescent="0.3">
      <c r="D1328">
        <v>6014498</v>
      </c>
      <c r="F1328">
        <f t="shared" si="20"/>
        <v>5</v>
      </c>
      <c r="N1328">
        <v>5</v>
      </c>
      <c r="O1328">
        <v>0</v>
      </c>
      <c r="P1328">
        <v>0</v>
      </c>
      <c r="Q1328">
        <v>0</v>
      </c>
      <c r="R1328">
        <v>0</v>
      </c>
      <c r="S1328">
        <v>0</v>
      </c>
    </row>
    <row r="1329" spans="4:19" x14ac:dyDescent="0.3">
      <c r="D1329" t="s">
        <v>14</v>
      </c>
      <c r="F1329">
        <f t="shared" si="20"/>
        <v>8</v>
      </c>
      <c r="N1329">
        <v>8</v>
      </c>
      <c r="O1329">
        <v>0</v>
      </c>
      <c r="P1329">
        <v>0</v>
      </c>
      <c r="Q1329">
        <v>0</v>
      </c>
      <c r="R1329">
        <v>0</v>
      </c>
      <c r="S1329">
        <v>0</v>
      </c>
    </row>
    <row r="1330" spans="4:19" x14ac:dyDescent="0.3">
      <c r="D1330">
        <v>6405012</v>
      </c>
      <c r="F1330">
        <f t="shared" si="20"/>
        <v>85</v>
      </c>
      <c r="N1330">
        <v>85</v>
      </c>
      <c r="O1330">
        <v>0</v>
      </c>
      <c r="P1330">
        <v>0</v>
      </c>
      <c r="Q1330">
        <v>0</v>
      </c>
      <c r="R1330">
        <v>0</v>
      </c>
      <c r="S1330">
        <v>0</v>
      </c>
    </row>
    <row r="1331" spans="4:19" x14ac:dyDescent="0.3">
      <c r="D1331">
        <v>5704496</v>
      </c>
      <c r="F1331">
        <f t="shared" si="20"/>
        <v>3</v>
      </c>
      <c r="N1331">
        <v>3</v>
      </c>
      <c r="O1331">
        <v>0</v>
      </c>
      <c r="P1331">
        <v>0</v>
      </c>
      <c r="Q1331">
        <v>0</v>
      </c>
      <c r="R1331">
        <v>0</v>
      </c>
      <c r="S1331">
        <v>0</v>
      </c>
    </row>
    <row r="1332" spans="4:19" x14ac:dyDescent="0.3">
      <c r="D1332">
        <v>6503585</v>
      </c>
      <c r="F1332">
        <f t="shared" si="20"/>
        <v>8</v>
      </c>
      <c r="N1332">
        <v>8</v>
      </c>
      <c r="O1332">
        <v>0</v>
      </c>
      <c r="P1332">
        <v>0</v>
      </c>
      <c r="Q1332">
        <v>0</v>
      </c>
      <c r="R1332">
        <v>0</v>
      </c>
      <c r="S1332">
        <v>0</v>
      </c>
    </row>
    <row r="1333" spans="4:19" x14ac:dyDescent="0.3">
      <c r="D1333">
        <v>6505800</v>
      </c>
      <c r="F1333">
        <f t="shared" si="20"/>
        <v>1</v>
      </c>
      <c r="N1333">
        <v>1</v>
      </c>
      <c r="O1333">
        <v>0</v>
      </c>
      <c r="P1333">
        <v>0</v>
      </c>
      <c r="Q1333">
        <v>0</v>
      </c>
      <c r="R1333">
        <v>0</v>
      </c>
      <c r="S1333">
        <v>0</v>
      </c>
    </row>
    <row r="1334" spans="4:19" x14ac:dyDescent="0.3">
      <c r="D1334">
        <v>6544088</v>
      </c>
      <c r="F1334">
        <f t="shared" si="20"/>
        <v>1</v>
      </c>
      <c r="N1334">
        <v>1</v>
      </c>
      <c r="O1334">
        <v>0</v>
      </c>
      <c r="P1334">
        <v>0</v>
      </c>
      <c r="Q1334">
        <v>0</v>
      </c>
      <c r="R1334">
        <v>0</v>
      </c>
      <c r="S1334">
        <v>0</v>
      </c>
    </row>
    <row r="1335" spans="4:19" x14ac:dyDescent="0.3">
      <c r="D1335" t="s">
        <v>32</v>
      </c>
      <c r="F1335">
        <f t="shared" si="20"/>
        <v>3</v>
      </c>
      <c r="N1335">
        <v>3</v>
      </c>
      <c r="O1335">
        <v>0</v>
      </c>
      <c r="P1335">
        <v>0</v>
      </c>
      <c r="Q1335">
        <v>0</v>
      </c>
      <c r="R1335">
        <v>0</v>
      </c>
      <c r="S1335">
        <v>0</v>
      </c>
    </row>
    <row r="1336" spans="4:19" x14ac:dyDescent="0.3">
      <c r="D1336" t="s">
        <v>28</v>
      </c>
      <c r="F1336">
        <f t="shared" si="20"/>
        <v>4</v>
      </c>
      <c r="N1336">
        <v>4</v>
      </c>
      <c r="O1336">
        <v>0</v>
      </c>
      <c r="P1336">
        <v>0</v>
      </c>
      <c r="Q1336">
        <v>0</v>
      </c>
      <c r="R1336">
        <v>0</v>
      </c>
      <c r="S1336">
        <v>0</v>
      </c>
    </row>
    <row r="1337" spans="4:19" x14ac:dyDescent="0.3">
      <c r="D1337">
        <v>6044235</v>
      </c>
      <c r="F1337">
        <f t="shared" si="20"/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</row>
    <row r="1338" spans="4:19" x14ac:dyDescent="0.3">
      <c r="D1338">
        <v>6828710</v>
      </c>
      <c r="F1338">
        <f t="shared" si="20"/>
        <v>6</v>
      </c>
      <c r="N1338">
        <v>6</v>
      </c>
      <c r="O1338">
        <v>0</v>
      </c>
      <c r="P1338">
        <v>0</v>
      </c>
      <c r="Q1338">
        <v>0</v>
      </c>
      <c r="R1338">
        <v>0</v>
      </c>
      <c r="S1338">
        <v>0</v>
      </c>
    </row>
    <row r="1339" spans="4:19" x14ac:dyDescent="0.3">
      <c r="D1339">
        <v>6278321</v>
      </c>
      <c r="F1339">
        <f t="shared" si="20"/>
        <v>5</v>
      </c>
      <c r="N1339">
        <v>5</v>
      </c>
      <c r="O1339">
        <v>0</v>
      </c>
      <c r="P1339">
        <v>0</v>
      </c>
      <c r="Q1339">
        <v>0</v>
      </c>
      <c r="R1339">
        <v>0</v>
      </c>
      <c r="S1339">
        <v>0</v>
      </c>
    </row>
    <row r="1340" spans="4:19" x14ac:dyDescent="0.3">
      <c r="D1340">
        <v>6503729</v>
      </c>
      <c r="F1340">
        <f t="shared" si="20"/>
        <v>14</v>
      </c>
      <c r="N1340">
        <v>14</v>
      </c>
      <c r="O1340">
        <v>0</v>
      </c>
      <c r="P1340">
        <v>0</v>
      </c>
      <c r="Q1340">
        <v>0</v>
      </c>
      <c r="R1340">
        <v>0</v>
      </c>
      <c r="S1340">
        <v>0</v>
      </c>
    </row>
    <row r="1341" spans="4:19" x14ac:dyDescent="0.3">
      <c r="D1341">
        <v>6602253</v>
      </c>
      <c r="F1341">
        <f t="shared" si="20"/>
        <v>21</v>
      </c>
      <c r="N1341">
        <v>21</v>
      </c>
      <c r="O1341">
        <v>0</v>
      </c>
      <c r="P1341">
        <v>0</v>
      </c>
      <c r="Q1341">
        <v>0</v>
      </c>
      <c r="R1341">
        <v>0</v>
      </c>
      <c r="S1341">
        <v>0</v>
      </c>
    </row>
    <row r="1342" spans="4:19" x14ac:dyDescent="0.3">
      <c r="D1342">
        <v>6164005</v>
      </c>
      <c r="F1342">
        <f t="shared" si="20"/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</row>
    <row r="1343" spans="4:19" x14ac:dyDescent="0.3">
      <c r="D1343">
        <v>6056573</v>
      </c>
      <c r="F1343">
        <f t="shared" si="20"/>
        <v>7</v>
      </c>
      <c r="N1343">
        <v>7</v>
      </c>
      <c r="O1343">
        <v>0</v>
      </c>
      <c r="P1343">
        <v>0</v>
      </c>
      <c r="Q1343">
        <v>0</v>
      </c>
      <c r="R1343">
        <v>0</v>
      </c>
      <c r="S1343">
        <v>0</v>
      </c>
    </row>
    <row r="1344" spans="4:19" x14ac:dyDescent="0.3">
      <c r="D1344">
        <v>6056600</v>
      </c>
      <c r="F1344">
        <f t="shared" si="20"/>
        <v>6</v>
      </c>
      <c r="N1344">
        <v>6</v>
      </c>
      <c r="O1344">
        <v>0</v>
      </c>
      <c r="P1344">
        <v>0</v>
      </c>
      <c r="Q1344">
        <v>0</v>
      </c>
      <c r="R1344">
        <v>0</v>
      </c>
      <c r="S1344">
        <v>0</v>
      </c>
    </row>
    <row r="1345" spans="4:19" x14ac:dyDescent="0.3">
      <c r="D1345">
        <v>6164204</v>
      </c>
      <c r="F1345">
        <f t="shared" si="20"/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</row>
    <row r="1346" spans="4:19" x14ac:dyDescent="0.3">
      <c r="D1346">
        <v>6503739</v>
      </c>
      <c r="F1346">
        <f t="shared" si="20"/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</row>
    <row r="1347" spans="4:19" x14ac:dyDescent="0.3">
      <c r="D1347">
        <v>6825030</v>
      </c>
      <c r="F1347">
        <f t="shared" ref="F1347:F1410" si="21">SUMIF(N1347:S1347,"&gt;=0")</f>
        <v>36</v>
      </c>
      <c r="N1347">
        <v>36</v>
      </c>
      <c r="O1347">
        <v>0</v>
      </c>
      <c r="P1347">
        <v>0</v>
      </c>
      <c r="Q1347">
        <v>0</v>
      </c>
      <c r="R1347">
        <v>0</v>
      </c>
      <c r="S1347">
        <v>0</v>
      </c>
    </row>
    <row r="1348" spans="4:19" x14ac:dyDescent="0.3">
      <c r="D1348">
        <v>6824217</v>
      </c>
      <c r="F1348">
        <f t="shared" si="21"/>
        <v>19</v>
      </c>
      <c r="N1348">
        <v>19</v>
      </c>
      <c r="O1348">
        <v>0</v>
      </c>
      <c r="P1348">
        <v>0</v>
      </c>
      <c r="Q1348">
        <v>0</v>
      </c>
      <c r="R1348">
        <v>0</v>
      </c>
      <c r="S1348">
        <v>0</v>
      </c>
    </row>
    <row r="1349" spans="4:19" x14ac:dyDescent="0.3">
      <c r="D1349">
        <v>6056549</v>
      </c>
      <c r="F1349">
        <f t="shared" si="21"/>
        <v>69</v>
      </c>
      <c r="N1349">
        <v>69</v>
      </c>
      <c r="O1349">
        <v>0</v>
      </c>
      <c r="P1349">
        <v>0</v>
      </c>
      <c r="Q1349">
        <v>0</v>
      </c>
      <c r="R1349">
        <v>0</v>
      </c>
      <c r="S1349">
        <v>0</v>
      </c>
    </row>
    <row r="1350" spans="4:19" x14ac:dyDescent="0.3">
      <c r="D1350">
        <v>5502949</v>
      </c>
      <c r="F1350">
        <f t="shared" si="21"/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</row>
    <row r="1351" spans="4:19" x14ac:dyDescent="0.3">
      <c r="D1351">
        <v>6056032</v>
      </c>
      <c r="F1351">
        <f t="shared" si="21"/>
        <v>36</v>
      </c>
      <c r="N1351">
        <v>36</v>
      </c>
      <c r="O1351">
        <v>0</v>
      </c>
      <c r="P1351">
        <v>0</v>
      </c>
      <c r="Q1351">
        <v>0</v>
      </c>
      <c r="R1351">
        <v>0</v>
      </c>
      <c r="S1351">
        <v>0</v>
      </c>
    </row>
    <row r="1352" spans="4:19" x14ac:dyDescent="0.3">
      <c r="D1352">
        <v>6056972</v>
      </c>
      <c r="F1352">
        <f t="shared" si="21"/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</row>
    <row r="1353" spans="4:19" x14ac:dyDescent="0.3">
      <c r="D1353">
        <v>6204244</v>
      </c>
      <c r="F1353">
        <f t="shared" si="21"/>
        <v>14</v>
      </c>
      <c r="N1353">
        <v>14</v>
      </c>
      <c r="O1353">
        <v>0</v>
      </c>
      <c r="P1353">
        <v>0</v>
      </c>
      <c r="Q1353">
        <v>0</v>
      </c>
      <c r="R1353">
        <v>0</v>
      </c>
      <c r="S1353">
        <v>0</v>
      </c>
    </row>
    <row r="1354" spans="4:19" x14ac:dyDescent="0.3">
      <c r="D1354">
        <v>6822339</v>
      </c>
      <c r="F1354">
        <f t="shared" si="21"/>
        <v>25</v>
      </c>
      <c r="N1354">
        <v>25</v>
      </c>
      <c r="O1354">
        <v>0</v>
      </c>
      <c r="P1354">
        <v>0</v>
      </c>
      <c r="Q1354">
        <v>0</v>
      </c>
      <c r="R1354">
        <v>0</v>
      </c>
      <c r="S1354">
        <v>0</v>
      </c>
    </row>
    <row r="1355" spans="4:19" x14ac:dyDescent="0.3">
      <c r="D1355">
        <v>6056606</v>
      </c>
      <c r="F1355">
        <f t="shared" si="21"/>
        <v>121</v>
      </c>
      <c r="N1355">
        <v>121</v>
      </c>
      <c r="O1355">
        <v>0</v>
      </c>
      <c r="P1355">
        <v>0</v>
      </c>
      <c r="Q1355">
        <v>0</v>
      </c>
      <c r="R1355">
        <v>0</v>
      </c>
      <c r="S1355">
        <v>0</v>
      </c>
    </row>
    <row r="1356" spans="4:19" x14ac:dyDescent="0.3">
      <c r="D1356">
        <v>6164145</v>
      </c>
      <c r="F1356">
        <f t="shared" si="21"/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</row>
    <row r="1357" spans="4:19" x14ac:dyDescent="0.3">
      <c r="D1357">
        <v>6821278</v>
      </c>
      <c r="F1357">
        <f t="shared" si="21"/>
        <v>107</v>
      </c>
      <c r="N1357">
        <v>107</v>
      </c>
      <c r="O1357">
        <v>0</v>
      </c>
      <c r="P1357">
        <v>0</v>
      </c>
      <c r="Q1357">
        <v>0</v>
      </c>
      <c r="R1357">
        <v>0</v>
      </c>
      <c r="S1357">
        <v>0</v>
      </c>
    </row>
    <row r="1358" spans="4:19" x14ac:dyDescent="0.3">
      <c r="D1358">
        <v>6824585</v>
      </c>
      <c r="F1358">
        <f t="shared" si="21"/>
        <v>2</v>
      </c>
      <c r="N1358">
        <v>2</v>
      </c>
      <c r="O1358">
        <v>0</v>
      </c>
      <c r="P1358">
        <v>0</v>
      </c>
      <c r="Q1358">
        <v>0</v>
      </c>
      <c r="R1358">
        <v>0</v>
      </c>
      <c r="S1358">
        <v>0</v>
      </c>
    </row>
    <row r="1359" spans="4:19" x14ac:dyDescent="0.3">
      <c r="D1359">
        <v>5308183</v>
      </c>
      <c r="F1359">
        <f t="shared" si="21"/>
        <v>75</v>
      </c>
      <c r="N1359">
        <v>75</v>
      </c>
      <c r="O1359">
        <v>0</v>
      </c>
      <c r="P1359">
        <v>0</v>
      </c>
      <c r="Q1359">
        <v>0</v>
      </c>
      <c r="R1359">
        <v>0</v>
      </c>
      <c r="S1359">
        <v>0</v>
      </c>
    </row>
    <row r="1360" spans="4:19" x14ac:dyDescent="0.3">
      <c r="D1360">
        <v>6045586</v>
      </c>
      <c r="F1360">
        <f t="shared" si="21"/>
        <v>6</v>
      </c>
      <c r="N1360">
        <v>6</v>
      </c>
      <c r="O1360">
        <v>0</v>
      </c>
      <c r="P1360">
        <v>0</v>
      </c>
      <c r="Q1360">
        <v>0</v>
      </c>
      <c r="R1360">
        <v>0</v>
      </c>
      <c r="S1360">
        <v>0</v>
      </c>
    </row>
    <row r="1361" spans="4:19" x14ac:dyDescent="0.3">
      <c r="D1361">
        <v>6505977</v>
      </c>
      <c r="F1361">
        <f t="shared" si="21"/>
        <v>62</v>
      </c>
      <c r="N1361">
        <v>61</v>
      </c>
      <c r="O1361">
        <v>0</v>
      </c>
      <c r="P1361">
        <v>1</v>
      </c>
      <c r="Q1361">
        <v>0</v>
      </c>
      <c r="R1361">
        <v>0</v>
      </c>
      <c r="S1361">
        <v>0</v>
      </c>
    </row>
    <row r="1362" spans="4:19" x14ac:dyDescent="0.3">
      <c r="D1362">
        <v>5502938</v>
      </c>
      <c r="F1362">
        <f t="shared" si="21"/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</row>
    <row r="1363" spans="4:19" x14ac:dyDescent="0.3">
      <c r="D1363">
        <v>6016035</v>
      </c>
      <c r="F1363">
        <f t="shared" si="21"/>
        <v>4</v>
      </c>
      <c r="N1363">
        <v>4</v>
      </c>
      <c r="O1363">
        <v>0</v>
      </c>
      <c r="P1363">
        <v>0</v>
      </c>
      <c r="Q1363">
        <v>0</v>
      </c>
      <c r="R1363">
        <v>0</v>
      </c>
      <c r="S1363">
        <v>0</v>
      </c>
    </row>
    <row r="1364" spans="4:19" x14ac:dyDescent="0.3">
      <c r="D1364">
        <v>6034014</v>
      </c>
      <c r="F1364">
        <f t="shared" si="21"/>
        <v>9</v>
      </c>
      <c r="N1364">
        <v>9</v>
      </c>
      <c r="O1364">
        <v>0</v>
      </c>
      <c r="P1364">
        <v>0</v>
      </c>
      <c r="Q1364">
        <v>0</v>
      </c>
      <c r="R1364">
        <v>0</v>
      </c>
      <c r="S1364">
        <v>0</v>
      </c>
    </row>
    <row r="1365" spans="4:19" x14ac:dyDescent="0.3">
      <c r="D1365">
        <v>6112230</v>
      </c>
      <c r="F1365">
        <f t="shared" si="21"/>
        <v>5</v>
      </c>
      <c r="N1365">
        <v>5</v>
      </c>
      <c r="O1365">
        <v>0</v>
      </c>
      <c r="P1365">
        <v>0</v>
      </c>
      <c r="Q1365">
        <v>0</v>
      </c>
      <c r="R1365">
        <v>0</v>
      </c>
      <c r="S1365">
        <v>0</v>
      </c>
    </row>
    <row r="1366" spans="4:19" x14ac:dyDescent="0.3">
      <c r="D1366">
        <v>6124316</v>
      </c>
      <c r="F1366">
        <f t="shared" si="21"/>
        <v>3</v>
      </c>
      <c r="N1366">
        <v>3</v>
      </c>
      <c r="O1366">
        <v>0</v>
      </c>
      <c r="P1366">
        <v>0</v>
      </c>
      <c r="Q1366">
        <v>0</v>
      </c>
      <c r="R1366">
        <v>0</v>
      </c>
      <c r="S1366">
        <v>0</v>
      </c>
    </row>
    <row r="1367" spans="4:19" x14ac:dyDescent="0.3">
      <c r="D1367">
        <v>6154123</v>
      </c>
      <c r="F1367">
        <f t="shared" si="21"/>
        <v>14</v>
      </c>
      <c r="N1367">
        <v>14</v>
      </c>
      <c r="O1367">
        <v>0</v>
      </c>
      <c r="P1367">
        <v>0</v>
      </c>
      <c r="Q1367">
        <v>0</v>
      </c>
      <c r="R1367">
        <v>0</v>
      </c>
      <c r="S1367">
        <v>0</v>
      </c>
    </row>
    <row r="1368" spans="4:19" x14ac:dyDescent="0.3">
      <c r="D1368">
        <v>6168384</v>
      </c>
      <c r="F1368">
        <f t="shared" si="21"/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</row>
    <row r="1369" spans="4:19" x14ac:dyDescent="0.3">
      <c r="D1369">
        <v>6504114</v>
      </c>
      <c r="F1369">
        <f t="shared" si="21"/>
        <v>2</v>
      </c>
      <c r="N1369">
        <v>2</v>
      </c>
      <c r="O1369">
        <v>0</v>
      </c>
      <c r="P1369">
        <v>0</v>
      </c>
      <c r="Q1369">
        <v>0</v>
      </c>
      <c r="R1369">
        <v>0</v>
      </c>
      <c r="S1369">
        <v>0</v>
      </c>
    </row>
    <row r="1370" spans="4:19" x14ac:dyDescent="0.3">
      <c r="D1370">
        <v>6823737</v>
      </c>
      <c r="F1370">
        <f t="shared" si="21"/>
        <v>227</v>
      </c>
      <c r="N1370">
        <v>227</v>
      </c>
      <c r="O1370">
        <v>0</v>
      </c>
      <c r="P1370">
        <v>0</v>
      </c>
      <c r="Q1370">
        <v>0</v>
      </c>
      <c r="R1370">
        <v>0</v>
      </c>
      <c r="S1370">
        <v>0</v>
      </c>
    </row>
    <row r="1371" spans="4:19" x14ac:dyDescent="0.3">
      <c r="D1371">
        <v>6503741</v>
      </c>
      <c r="F1371">
        <f t="shared" si="21"/>
        <v>2</v>
      </c>
      <c r="N1371">
        <v>2</v>
      </c>
      <c r="O1371">
        <v>0</v>
      </c>
      <c r="P1371">
        <v>0</v>
      </c>
      <c r="Q1371">
        <v>0</v>
      </c>
      <c r="R1371">
        <v>0</v>
      </c>
      <c r="S1371">
        <v>0</v>
      </c>
    </row>
    <row r="1372" spans="4:19" x14ac:dyDescent="0.3">
      <c r="D1372">
        <v>6054889</v>
      </c>
      <c r="F1372">
        <f t="shared" si="21"/>
        <v>4</v>
      </c>
      <c r="N1372">
        <v>4</v>
      </c>
      <c r="O1372">
        <v>0</v>
      </c>
      <c r="P1372">
        <v>0</v>
      </c>
      <c r="Q1372">
        <v>0</v>
      </c>
      <c r="R1372">
        <v>0</v>
      </c>
      <c r="S1372">
        <v>0</v>
      </c>
    </row>
    <row r="1373" spans="4:19" x14ac:dyDescent="0.3">
      <c r="D1373">
        <v>6824512</v>
      </c>
      <c r="F1373">
        <f t="shared" si="21"/>
        <v>10</v>
      </c>
      <c r="N1373">
        <v>10</v>
      </c>
      <c r="O1373">
        <v>0</v>
      </c>
      <c r="P1373">
        <v>0</v>
      </c>
      <c r="Q1373">
        <v>0</v>
      </c>
      <c r="R1373">
        <v>0</v>
      </c>
      <c r="S1373">
        <v>0</v>
      </c>
    </row>
    <row r="1374" spans="4:19" x14ac:dyDescent="0.3">
      <c r="D1374">
        <v>6051007000</v>
      </c>
      <c r="F1374">
        <f t="shared" si="21"/>
        <v>2</v>
      </c>
      <c r="N1374">
        <v>2</v>
      </c>
      <c r="O1374">
        <v>0</v>
      </c>
      <c r="P1374">
        <v>0</v>
      </c>
      <c r="Q1374">
        <v>0</v>
      </c>
      <c r="R1374">
        <v>0</v>
      </c>
      <c r="S1374">
        <v>0</v>
      </c>
    </row>
    <row r="1375" spans="4:19" x14ac:dyDescent="0.3">
      <c r="D1375">
        <v>6124091</v>
      </c>
      <c r="F1375">
        <f t="shared" si="21"/>
        <v>4</v>
      </c>
      <c r="N1375">
        <v>4</v>
      </c>
      <c r="O1375">
        <v>0</v>
      </c>
      <c r="P1375">
        <v>0</v>
      </c>
      <c r="Q1375">
        <v>0</v>
      </c>
      <c r="R1375">
        <v>0</v>
      </c>
      <c r="S1375">
        <v>0</v>
      </c>
    </row>
    <row r="1376" spans="4:19" x14ac:dyDescent="0.3">
      <c r="D1376">
        <v>6056973</v>
      </c>
      <c r="F1376">
        <f t="shared" si="21"/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</row>
    <row r="1377" spans="4:19" x14ac:dyDescent="0.3">
      <c r="D1377">
        <v>6054231</v>
      </c>
      <c r="F1377">
        <f t="shared" si="21"/>
        <v>42</v>
      </c>
      <c r="N1377">
        <v>42</v>
      </c>
      <c r="O1377">
        <v>0</v>
      </c>
      <c r="P1377">
        <v>0</v>
      </c>
      <c r="Q1377">
        <v>0</v>
      </c>
      <c r="R1377">
        <v>0</v>
      </c>
      <c r="S1377">
        <v>0</v>
      </c>
    </row>
    <row r="1378" spans="4:19" x14ac:dyDescent="0.3">
      <c r="D1378">
        <v>6056977</v>
      </c>
      <c r="F1378">
        <f t="shared" si="21"/>
        <v>3</v>
      </c>
      <c r="N1378">
        <v>3</v>
      </c>
      <c r="O1378">
        <v>0</v>
      </c>
      <c r="P1378">
        <v>0</v>
      </c>
      <c r="Q1378">
        <v>0</v>
      </c>
      <c r="R1378">
        <v>0</v>
      </c>
      <c r="S1378">
        <v>0</v>
      </c>
    </row>
    <row r="1379" spans="4:19" x14ac:dyDescent="0.3">
      <c r="D1379">
        <v>6056587</v>
      </c>
      <c r="F1379">
        <f t="shared" si="21"/>
        <v>45</v>
      </c>
      <c r="N1379">
        <v>45</v>
      </c>
      <c r="O1379">
        <v>0</v>
      </c>
      <c r="P1379">
        <v>0</v>
      </c>
      <c r="Q1379">
        <v>0</v>
      </c>
      <c r="R1379">
        <v>0</v>
      </c>
      <c r="S1379">
        <v>0</v>
      </c>
    </row>
    <row r="1380" spans="4:19" x14ac:dyDescent="0.3">
      <c r="D1380">
        <v>6056535</v>
      </c>
      <c r="F1380">
        <f t="shared" si="21"/>
        <v>64</v>
      </c>
      <c r="N1380">
        <v>64</v>
      </c>
      <c r="O1380">
        <v>0</v>
      </c>
      <c r="P1380">
        <v>0</v>
      </c>
      <c r="Q1380">
        <v>0</v>
      </c>
      <c r="R1380">
        <v>0</v>
      </c>
      <c r="S1380">
        <v>0</v>
      </c>
    </row>
    <row r="1381" spans="4:19" x14ac:dyDescent="0.3">
      <c r="D1381" t="s">
        <v>30</v>
      </c>
      <c r="F1381">
        <f t="shared" si="21"/>
        <v>9</v>
      </c>
      <c r="N1381">
        <v>9</v>
      </c>
      <c r="O1381">
        <v>0</v>
      </c>
      <c r="P1381">
        <v>0</v>
      </c>
      <c r="Q1381">
        <v>0</v>
      </c>
      <c r="R1381">
        <v>0</v>
      </c>
      <c r="S1381">
        <v>0</v>
      </c>
    </row>
    <row r="1382" spans="4:19" x14ac:dyDescent="0.3">
      <c r="D1382">
        <v>6048700</v>
      </c>
      <c r="F1382">
        <f t="shared" si="21"/>
        <v>4</v>
      </c>
      <c r="N1382">
        <v>4</v>
      </c>
      <c r="O1382">
        <v>0</v>
      </c>
      <c r="P1382">
        <v>0</v>
      </c>
      <c r="Q1382">
        <v>0</v>
      </c>
      <c r="R1382">
        <v>0</v>
      </c>
      <c r="S1382">
        <v>0</v>
      </c>
    </row>
    <row r="1383" spans="4:19" x14ac:dyDescent="0.3">
      <c r="D1383">
        <v>6034005</v>
      </c>
      <c r="F1383">
        <f t="shared" si="21"/>
        <v>9</v>
      </c>
      <c r="N1383">
        <v>9</v>
      </c>
      <c r="O1383">
        <v>0</v>
      </c>
      <c r="P1383">
        <v>0</v>
      </c>
      <c r="Q1383">
        <v>0</v>
      </c>
      <c r="R1383">
        <v>0</v>
      </c>
      <c r="S1383">
        <v>0</v>
      </c>
    </row>
    <row r="1384" spans="4:19" x14ac:dyDescent="0.3">
      <c r="D1384">
        <v>6053959</v>
      </c>
      <c r="F1384">
        <f t="shared" si="21"/>
        <v>3</v>
      </c>
      <c r="N1384">
        <v>3</v>
      </c>
      <c r="O1384">
        <v>0</v>
      </c>
      <c r="P1384">
        <v>0</v>
      </c>
      <c r="Q1384">
        <v>0</v>
      </c>
      <c r="R1384">
        <v>0</v>
      </c>
      <c r="S1384">
        <v>0</v>
      </c>
    </row>
    <row r="1385" spans="4:19" x14ac:dyDescent="0.3">
      <c r="D1385">
        <v>6604243</v>
      </c>
      <c r="F1385">
        <f t="shared" si="21"/>
        <v>23</v>
      </c>
      <c r="N1385">
        <v>23</v>
      </c>
      <c r="O1385">
        <v>0</v>
      </c>
      <c r="P1385">
        <v>0</v>
      </c>
      <c r="Q1385">
        <v>0</v>
      </c>
      <c r="R1385">
        <v>0</v>
      </c>
      <c r="S1385">
        <v>0</v>
      </c>
    </row>
    <row r="1386" spans="4:19" x14ac:dyDescent="0.3">
      <c r="D1386">
        <v>6823365</v>
      </c>
      <c r="F1386">
        <f t="shared" si="21"/>
        <v>239</v>
      </c>
      <c r="N1386">
        <v>239</v>
      </c>
      <c r="O1386">
        <v>0</v>
      </c>
      <c r="P1386">
        <v>0</v>
      </c>
      <c r="Q1386">
        <v>0</v>
      </c>
      <c r="R1386">
        <v>0</v>
      </c>
      <c r="S1386">
        <v>0</v>
      </c>
    </row>
    <row r="1387" spans="4:19" x14ac:dyDescent="0.3">
      <c r="D1387">
        <v>6824651</v>
      </c>
      <c r="F1387">
        <f t="shared" si="21"/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</row>
    <row r="1388" spans="4:19" x14ac:dyDescent="0.3">
      <c r="D1388" t="s">
        <v>181</v>
      </c>
      <c r="F1388">
        <f t="shared" si="21"/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</row>
    <row r="1389" spans="4:19" x14ac:dyDescent="0.3">
      <c r="D1389">
        <v>6608392</v>
      </c>
      <c r="F1389">
        <f t="shared" si="21"/>
        <v>183</v>
      </c>
      <c r="N1389">
        <v>183</v>
      </c>
      <c r="O1389">
        <v>0</v>
      </c>
      <c r="P1389">
        <v>0</v>
      </c>
      <c r="Q1389">
        <v>0</v>
      </c>
      <c r="R1389">
        <v>0</v>
      </c>
      <c r="S1389">
        <v>0</v>
      </c>
    </row>
    <row r="1390" spans="4:19" x14ac:dyDescent="0.3">
      <c r="D1390">
        <v>6056036</v>
      </c>
      <c r="F1390">
        <f t="shared" si="21"/>
        <v>70</v>
      </c>
      <c r="N1390">
        <v>70</v>
      </c>
      <c r="O1390">
        <v>0</v>
      </c>
      <c r="P1390">
        <v>0</v>
      </c>
      <c r="Q1390">
        <v>0</v>
      </c>
      <c r="R1390">
        <v>0</v>
      </c>
      <c r="S1390">
        <v>0</v>
      </c>
    </row>
    <row r="1391" spans="4:19" x14ac:dyDescent="0.3">
      <c r="D1391">
        <v>6056607</v>
      </c>
      <c r="F1391">
        <f t="shared" si="21"/>
        <v>83</v>
      </c>
      <c r="N1391">
        <v>83</v>
      </c>
      <c r="O1391">
        <v>0</v>
      </c>
      <c r="P1391">
        <v>0</v>
      </c>
      <c r="Q1391">
        <v>0</v>
      </c>
      <c r="R1391">
        <v>0</v>
      </c>
      <c r="S1391">
        <v>0</v>
      </c>
    </row>
    <row r="1392" spans="4:19" x14ac:dyDescent="0.3">
      <c r="D1392">
        <v>6822606</v>
      </c>
      <c r="F1392">
        <f t="shared" si="21"/>
        <v>326</v>
      </c>
      <c r="N1392">
        <v>326</v>
      </c>
      <c r="O1392">
        <v>0</v>
      </c>
      <c r="P1392">
        <v>0</v>
      </c>
      <c r="Q1392">
        <v>0</v>
      </c>
      <c r="R1392">
        <v>0</v>
      </c>
      <c r="S1392">
        <v>0</v>
      </c>
    </row>
    <row r="1393" spans="4:19" x14ac:dyDescent="0.3">
      <c r="D1393">
        <v>6045421</v>
      </c>
      <c r="F1393">
        <f t="shared" si="21"/>
        <v>1</v>
      </c>
      <c r="N1393">
        <v>1</v>
      </c>
      <c r="O1393">
        <v>0</v>
      </c>
      <c r="P1393">
        <v>0</v>
      </c>
      <c r="Q1393">
        <v>0</v>
      </c>
      <c r="R1393">
        <v>0</v>
      </c>
      <c r="S1393">
        <v>0</v>
      </c>
    </row>
    <row r="1394" spans="4:19" x14ac:dyDescent="0.3">
      <c r="D1394">
        <v>6822137</v>
      </c>
      <c r="F1394">
        <f t="shared" si="21"/>
        <v>32</v>
      </c>
      <c r="N1394">
        <v>32</v>
      </c>
      <c r="O1394">
        <v>0</v>
      </c>
      <c r="P1394">
        <v>0</v>
      </c>
      <c r="Q1394">
        <v>0</v>
      </c>
      <c r="R1394">
        <v>0</v>
      </c>
      <c r="S1394">
        <v>0</v>
      </c>
    </row>
    <row r="1395" spans="4:19" x14ac:dyDescent="0.3">
      <c r="D1395">
        <v>6824216</v>
      </c>
      <c r="F1395">
        <f t="shared" si="21"/>
        <v>65</v>
      </c>
      <c r="N1395">
        <v>65</v>
      </c>
      <c r="O1395">
        <v>0</v>
      </c>
      <c r="P1395">
        <v>0</v>
      </c>
      <c r="Q1395">
        <v>0</v>
      </c>
      <c r="R1395">
        <v>0</v>
      </c>
      <c r="S1395">
        <v>0</v>
      </c>
    </row>
    <row r="1396" spans="4:19" x14ac:dyDescent="0.3">
      <c r="D1396">
        <v>6152626</v>
      </c>
      <c r="F1396">
        <f t="shared" si="21"/>
        <v>2</v>
      </c>
      <c r="N1396">
        <v>2</v>
      </c>
      <c r="O1396">
        <v>0</v>
      </c>
      <c r="P1396">
        <v>0</v>
      </c>
      <c r="Q1396">
        <v>0</v>
      </c>
      <c r="R1396">
        <v>0</v>
      </c>
      <c r="S1396">
        <v>0</v>
      </c>
    </row>
    <row r="1397" spans="4:19" x14ac:dyDescent="0.3">
      <c r="D1397">
        <v>6452196</v>
      </c>
      <c r="F1397">
        <f t="shared" si="21"/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</row>
    <row r="1398" spans="4:19" x14ac:dyDescent="0.3">
      <c r="D1398">
        <v>6057091</v>
      </c>
      <c r="F1398">
        <f t="shared" si="21"/>
        <v>31</v>
      </c>
      <c r="N1398">
        <v>31</v>
      </c>
      <c r="O1398">
        <v>0</v>
      </c>
      <c r="P1398">
        <v>0</v>
      </c>
      <c r="Q1398">
        <v>0</v>
      </c>
      <c r="R1398">
        <v>0</v>
      </c>
      <c r="S1398">
        <v>0</v>
      </c>
    </row>
    <row r="1399" spans="4:19" x14ac:dyDescent="0.3">
      <c r="D1399">
        <v>6056767</v>
      </c>
      <c r="F1399">
        <f t="shared" si="21"/>
        <v>18</v>
      </c>
      <c r="N1399">
        <v>18</v>
      </c>
      <c r="O1399">
        <v>0</v>
      </c>
      <c r="P1399">
        <v>0</v>
      </c>
      <c r="Q1399">
        <v>0</v>
      </c>
      <c r="R1399">
        <v>0</v>
      </c>
      <c r="S1399">
        <v>0</v>
      </c>
    </row>
    <row r="1400" spans="4:19" x14ac:dyDescent="0.3">
      <c r="D1400">
        <v>5935582</v>
      </c>
      <c r="F1400">
        <f t="shared" si="21"/>
        <v>1</v>
      </c>
      <c r="N1400">
        <v>1</v>
      </c>
      <c r="O1400">
        <v>0</v>
      </c>
      <c r="P1400">
        <v>0</v>
      </c>
      <c r="Q1400">
        <v>0</v>
      </c>
      <c r="R1400">
        <v>0</v>
      </c>
      <c r="S1400">
        <v>0</v>
      </c>
    </row>
    <row r="1401" spans="4:19" x14ac:dyDescent="0.3">
      <c r="D1401">
        <v>6828970</v>
      </c>
      <c r="F1401">
        <f t="shared" si="21"/>
        <v>68</v>
      </c>
      <c r="N1401">
        <v>68</v>
      </c>
      <c r="O1401">
        <v>0</v>
      </c>
      <c r="P1401">
        <v>0</v>
      </c>
      <c r="Q1401">
        <v>0</v>
      </c>
      <c r="R1401">
        <v>0</v>
      </c>
      <c r="S1401">
        <v>0</v>
      </c>
    </row>
    <row r="1402" spans="4:19" x14ac:dyDescent="0.3">
      <c r="D1402">
        <v>5500053</v>
      </c>
      <c r="F1402">
        <f t="shared" si="21"/>
        <v>17</v>
      </c>
      <c r="N1402">
        <v>17</v>
      </c>
      <c r="O1402">
        <v>0</v>
      </c>
      <c r="P1402">
        <v>0</v>
      </c>
      <c r="Q1402">
        <v>0</v>
      </c>
      <c r="R1402">
        <v>0</v>
      </c>
      <c r="S1402">
        <v>0</v>
      </c>
    </row>
    <row r="1403" spans="4:19" x14ac:dyDescent="0.3">
      <c r="D1403">
        <v>6016608</v>
      </c>
      <c r="F1403">
        <f t="shared" si="21"/>
        <v>51</v>
      </c>
      <c r="N1403">
        <v>51</v>
      </c>
      <c r="O1403">
        <v>0</v>
      </c>
      <c r="P1403">
        <v>0</v>
      </c>
      <c r="Q1403">
        <v>0</v>
      </c>
      <c r="R1403">
        <v>0</v>
      </c>
      <c r="S1403">
        <v>0</v>
      </c>
    </row>
    <row r="1404" spans="4:19" x14ac:dyDescent="0.3">
      <c r="D1404">
        <v>6056926</v>
      </c>
      <c r="F1404">
        <f t="shared" si="21"/>
        <v>116</v>
      </c>
      <c r="N1404">
        <v>116</v>
      </c>
      <c r="O1404">
        <v>0</v>
      </c>
      <c r="P1404">
        <v>0</v>
      </c>
      <c r="Q1404">
        <v>0</v>
      </c>
      <c r="R1404">
        <v>0</v>
      </c>
      <c r="S1404">
        <v>0</v>
      </c>
    </row>
    <row r="1405" spans="4:19" x14ac:dyDescent="0.3">
      <c r="D1405">
        <v>6163231</v>
      </c>
      <c r="F1405">
        <f t="shared" si="21"/>
        <v>1</v>
      </c>
      <c r="N1405">
        <v>1</v>
      </c>
      <c r="O1405">
        <v>0</v>
      </c>
      <c r="P1405">
        <v>0</v>
      </c>
      <c r="Q1405">
        <v>0</v>
      </c>
      <c r="R1405">
        <v>0</v>
      </c>
      <c r="S1405">
        <v>0</v>
      </c>
    </row>
    <row r="1406" spans="4:19" x14ac:dyDescent="0.3">
      <c r="D1406">
        <v>6044382</v>
      </c>
      <c r="F1406">
        <f t="shared" si="21"/>
        <v>115</v>
      </c>
      <c r="N1406">
        <v>115</v>
      </c>
      <c r="O1406">
        <v>0</v>
      </c>
      <c r="P1406">
        <v>0</v>
      </c>
      <c r="Q1406">
        <v>0</v>
      </c>
      <c r="R1406">
        <v>0</v>
      </c>
      <c r="S1406">
        <v>0</v>
      </c>
    </row>
    <row r="1407" spans="4:19" x14ac:dyDescent="0.3">
      <c r="D1407">
        <v>6124241</v>
      </c>
      <c r="F1407">
        <f t="shared" si="21"/>
        <v>1</v>
      </c>
      <c r="N1407">
        <v>1</v>
      </c>
      <c r="O1407">
        <v>0</v>
      </c>
      <c r="P1407">
        <v>0</v>
      </c>
      <c r="Q1407">
        <v>0</v>
      </c>
      <c r="R1407">
        <v>0</v>
      </c>
      <c r="S1407">
        <v>0</v>
      </c>
    </row>
    <row r="1408" spans="4:19" x14ac:dyDescent="0.3">
      <c r="D1408">
        <v>6124240</v>
      </c>
      <c r="F1408">
        <f t="shared" si="21"/>
        <v>1</v>
      </c>
      <c r="N1408">
        <v>1</v>
      </c>
      <c r="O1408">
        <v>0</v>
      </c>
      <c r="P1408">
        <v>0</v>
      </c>
      <c r="Q1408">
        <v>0</v>
      </c>
      <c r="R1408">
        <v>0</v>
      </c>
      <c r="S1408">
        <v>0</v>
      </c>
    </row>
    <row r="1409" spans="4:19" x14ac:dyDescent="0.3">
      <c r="D1409">
        <v>6154755</v>
      </c>
      <c r="F1409">
        <f t="shared" si="21"/>
        <v>1</v>
      </c>
      <c r="N1409">
        <v>1</v>
      </c>
      <c r="O1409">
        <v>0</v>
      </c>
      <c r="P1409">
        <v>0</v>
      </c>
      <c r="Q1409">
        <v>0</v>
      </c>
      <c r="R1409">
        <v>0</v>
      </c>
      <c r="S1409">
        <v>0</v>
      </c>
    </row>
    <row r="1410" spans="4:19" x14ac:dyDescent="0.3">
      <c r="D1410">
        <v>6017582</v>
      </c>
      <c r="F1410">
        <f t="shared" si="21"/>
        <v>27</v>
      </c>
      <c r="N1410">
        <v>27</v>
      </c>
      <c r="O1410">
        <v>0</v>
      </c>
      <c r="P1410">
        <v>0</v>
      </c>
      <c r="Q1410">
        <v>0</v>
      </c>
      <c r="R1410">
        <v>0</v>
      </c>
      <c r="S1410">
        <v>0</v>
      </c>
    </row>
    <row r="1411" spans="4:19" x14ac:dyDescent="0.3">
      <c r="D1411">
        <v>6501257</v>
      </c>
      <c r="F1411">
        <f t="shared" ref="F1411:F1474" si="22">SUMIF(N1411:S1411,"&gt;=0")</f>
        <v>12</v>
      </c>
      <c r="N1411">
        <v>12</v>
      </c>
      <c r="O1411">
        <v>0</v>
      </c>
      <c r="P1411">
        <v>0</v>
      </c>
      <c r="Q1411">
        <v>0</v>
      </c>
      <c r="R1411">
        <v>0</v>
      </c>
      <c r="S1411">
        <v>0</v>
      </c>
    </row>
    <row r="1412" spans="4:19" x14ac:dyDescent="0.3">
      <c r="D1412">
        <v>6824225</v>
      </c>
      <c r="F1412">
        <f t="shared" si="22"/>
        <v>137</v>
      </c>
      <c r="N1412">
        <v>137</v>
      </c>
      <c r="O1412">
        <v>0</v>
      </c>
      <c r="P1412">
        <v>0</v>
      </c>
      <c r="Q1412">
        <v>0</v>
      </c>
      <c r="R1412">
        <v>0</v>
      </c>
      <c r="S1412">
        <v>0</v>
      </c>
    </row>
    <row r="1413" spans="4:19" x14ac:dyDescent="0.3">
      <c r="D1413">
        <v>6828798</v>
      </c>
      <c r="F1413">
        <f t="shared" si="22"/>
        <v>1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0</v>
      </c>
    </row>
    <row r="1414" spans="4:19" x14ac:dyDescent="0.3">
      <c r="D1414">
        <v>6204256</v>
      </c>
      <c r="F1414">
        <f t="shared" si="22"/>
        <v>38</v>
      </c>
      <c r="N1414">
        <v>38</v>
      </c>
      <c r="O1414">
        <v>0</v>
      </c>
      <c r="P1414">
        <v>0</v>
      </c>
      <c r="Q1414">
        <v>0</v>
      </c>
      <c r="R1414">
        <v>0</v>
      </c>
      <c r="S1414">
        <v>0</v>
      </c>
    </row>
    <row r="1415" spans="4:19" x14ac:dyDescent="0.3">
      <c r="D1415">
        <v>6825014</v>
      </c>
      <c r="F1415">
        <f t="shared" si="22"/>
        <v>252</v>
      </c>
      <c r="N1415">
        <v>252</v>
      </c>
      <c r="O1415">
        <v>0</v>
      </c>
      <c r="P1415">
        <v>0</v>
      </c>
      <c r="Q1415">
        <v>0</v>
      </c>
      <c r="R1415">
        <v>0</v>
      </c>
      <c r="S1415">
        <v>0</v>
      </c>
    </row>
    <row r="1416" spans="4:19" x14ac:dyDescent="0.3">
      <c r="D1416">
        <v>6154677</v>
      </c>
      <c r="F1416">
        <f t="shared" si="22"/>
        <v>6</v>
      </c>
      <c r="N1416">
        <v>6</v>
      </c>
      <c r="O1416">
        <v>0</v>
      </c>
      <c r="P1416">
        <v>0</v>
      </c>
      <c r="Q1416">
        <v>0</v>
      </c>
      <c r="R1416">
        <v>0</v>
      </c>
      <c r="S1416">
        <v>0</v>
      </c>
    </row>
    <row r="1417" spans="4:19" x14ac:dyDescent="0.3">
      <c r="D1417">
        <v>6505948</v>
      </c>
      <c r="F1417">
        <f t="shared" si="22"/>
        <v>3</v>
      </c>
      <c r="N1417">
        <v>3</v>
      </c>
      <c r="O1417">
        <v>0</v>
      </c>
      <c r="P1417">
        <v>0</v>
      </c>
      <c r="Q1417">
        <v>0</v>
      </c>
      <c r="R1417">
        <v>0</v>
      </c>
      <c r="S1417">
        <v>0</v>
      </c>
    </row>
    <row r="1418" spans="4:19" x14ac:dyDescent="0.3">
      <c r="D1418">
        <v>6057501</v>
      </c>
      <c r="F1418">
        <f t="shared" si="22"/>
        <v>26</v>
      </c>
      <c r="N1418">
        <v>26</v>
      </c>
      <c r="O1418">
        <v>0</v>
      </c>
      <c r="P1418">
        <v>0</v>
      </c>
      <c r="Q1418">
        <v>0</v>
      </c>
      <c r="R1418">
        <v>0</v>
      </c>
      <c r="S1418">
        <v>0</v>
      </c>
    </row>
    <row r="1419" spans="4:19" x14ac:dyDescent="0.3">
      <c r="D1419">
        <v>5815757</v>
      </c>
      <c r="F1419">
        <f t="shared" si="22"/>
        <v>9</v>
      </c>
      <c r="N1419">
        <v>9</v>
      </c>
      <c r="O1419">
        <v>0</v>
      </c>
      <c r="P1419">
        <v>0</v>
      </c>
      <c r="Q1419">
        <v>0</v>
      </c>
      <c r="R1419">
        <v>0</v>
      </c>
      <c r="S1419">
        <v>0</v>
      </c>
    </row>
    <row r="1420" spans="4:19" x14ac:dyDescent="0.3">
      <c r="D1420">
        <v>6050198</v>
      </c>
      <c r="F1420">
        <f t="shared" si="22"/>
        <v>18</v>
      </c>
      <c r="N1420">
        <v>18</v>
      </c>
      <c r="O1420">
        <v>0</v>
      </c>
      <c r="P1420">
        <v>0</v>
      </c>
      <c r="Q1420">
        <v>0</v>
      </c>
      <c r="R1420">
        <v>0</v>
      </c>
      <c r="S1420">
        <v>0</v>
      </c>
    </row>
    <row r="1421" spans="4:19" x14ac:dyDescent="0.3">
      <c r="D1421">
        <v>6056120</v>
      </c>
      <c r="F1421">
        <f t="shared" si="22"/>
        <v>30</v>
      </c>
      <c r="N1421">
        <v>30</v>
      </c>
      <c r="O1421">
        <v>0</v>
      </c>
      <c r="P1421">
        <v>0</v>
      </c>
      <c r="Q1421">
        <v>0</v>
      </c>
      <c r="R1421">
        <v>0</v>
      </c>
      <c r="S1421">
        <v>0</v>
      </c>
    </row>
    <row r="1422" spans="4:19" x14ac:dyDescent="0.3">
      <c r="D1422">
        <v>6016066</v>
      </c>
      <c r="F1422">
        <f t="shared" si="22"/>
        <v>1</v>
      </c>
      <c r="N1422">
        <v>1</v>
      </c>
      <c r="O1422">
        <v>0</v>
      </c>
      <c r="P1422">
        <v>0</v>
      </c>
      <c r="Q1422">
        <v>0</v>
      </c>
      <c r="R1422">
        <v>0</v>
      </c>
      <c r="S1422">
        <v>0</v>
      </c>
    </row>
    <row r="1423" spans="4:19" x14ac:dyDescent="0.3">
      <c r="D1423">
        <v>6051178</v>
      </c>
      <c r="F1423">
        <f t="shared" si="22"/>
        <v>80</v>
      </c>
      <c r="N1423">
        <v>80</v>
      </c>
      <c r="O1423">
        <v>0</v>
      </c>
      <c r="P1423">
        <v>0</v>
      </c>
      <c r="Q1423">
        <v>0</v>
      </c>
      <c r="R1423">
        <v>0</v>
      </c>
      <c r="S1423">
        <v>0</v>
      </c>
    </row>
    <row r="1424" spans="4:19" x14ac:dyDescent="0.3">
      <c r="D1424">
        <v>6056557</v>
      </c>
      <c r="F1424">
        <f t="shared" si="22"/>
        <v>10</v>
      </c>
      <c r="N1424">
        <v>10</v>
      </c>
      <c r="O1424">
        <v>0</v>
      </c>
      <c r="P1424">
        <v>0</v>
      </c>
      <c r="Q1424">
        <v>0</v>
      </c>
      <c r="R1424">
        <v>0</v>
      </c>
      <c r="S1424">
        <v>0</v>
      </c>
    </row>
    <row r="1425" spans="4:19" x14ac:dyDescent="0.3">
      <c r="D1425">
        <v>6824389</v>
      </c>
      <c r="F1425">
        <f t="shared" si="22"/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</row>
    <row r="1426" spans="4:19" x14ac:dyDescent="0.3">
      <c r="D1426">
        <v>6056925</v>
      </c>
      <c r="F1426">
        <f t="shared" si="22"/>
        <v>18</v>
      </c>
      <c r="N1426">
        <v>18</v>
      </c>
      <c r="O1426">
        <v>0</v>
      </c>
      <c r="P1426">
        <v>0</v>
      </c>
      <c r="Q1426">
        <v>0</v>
      </c>
      <c r="R1426">
        <v>0</v>
      </c>
      <c r="S1426">
        <v>0</v>
      </c>
    </row>
    <row r="1427" spans="4:19" x14ac:dyDescent="0.3">
      <c r="D1427">
        <v>6164033</v>
      </c>
      <c r="F1427">
        <f t="shared" si="22"/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</row>
    <row r="1428" spans="4:19" x14ac:dyDescent="0.3">
      <c r="D1428">
        <v>6825027</v>
      </c>
      <c r="F1428">
        <f t="shared" si="22"/>
        <v>253</v>
      </c>
      <c r="N1428">
        <v>253</v>
      </c>
      <c r="O1428">
        <v>0</v>
      </c>
      <c r="P1428">
        <v>0</v>
      </c>
      <c r="Q1428">
        <v>0</v>
      </c>
      <c r="R1428">
        <v>0</v>
      </c>
      <c r="S1428">
        <v>0</v>
      </c>
    </row>
    <row r="1429" spans="4:19" x14ac:dyDescent="0.3">
      <c r="D1429">
        <v>6503652</v>
      </c>
      <c r="F1429">
        <f t="shared" si="22"/>
        <v>28</v>
      </c>
      <c r="N1429">
        <v>28</v>
      </c>
      <c r="O1429">
        <v>0</v>
      </c>
      <c r="P1429">
        <v>0</v>
      </c>
      <c r="Q1429">
        <v>0</v>
      </c>
      <c r="R1429">
        <v>0</v>
      </c>
      <c r="S1429">
        <v>0</v>
      </c>
    </row>
    <row r="1430" spans="4:19" x14ac:dyDescent="0.3">
      <c r="D1430">
        <v>6505806</v>
      </c>
      <c r="F1430">
        <f t="shared" si="22"/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</row>
    <row r="1431" spans="4:19" x14ac:dyDescent="0.3">
      <c r="D1431" t="s">
        <v>26</v>
      </c>
      <c r="F1431">
        <f t="shared" si="22"/>
        <v>67</v>
      </c>
      <c r="N1431">
        <v>67</v>
      </c>
      <c r="O1431">
        <v>0</v>
      </c>
      <c r="P1431">
        <v>0</v>
      </c>
      <c r="Q1431">
        <v>0</v>
      </c>
      <c r="R1431">
        <v>0</v>
      </c>
      <c r="S1431">
        <v>0</v>
      </c>
    </row>
    <row r="1432" spans="4:19" x14ac:dyDescent="0.3">
      <c r="D1432">
        <v>6163222</v>
      </c>
      <c r="F1432">
        <f t="shared" si="22"/>
        <v>13</v>
      </c>
      <c r="N1432">
        <v>13</v>
      </c>
      <c r="O1432">
        <v>0</v>
      </c>
      <c r="P1432">
        <v>0</v>
      </c>
      <c r="Q1432">
        <v>0</v>
      </c>
      <c r="R1432">
        <v>0</v>
      </c>
      <c r="S1432">
        <v>0</v>
      </c>
    </row>
    <row r="1433" spans="4:19" x14ac:dyDescent="0.3">
      <c r="D1433">
        <v>6501254</v>
      </c>
      <c r="F1433">
        <f t="shared" si="22"/>
        <v>167</v>
      </c>
      <c r="N1433">
        <v>167</v>
      </c>
      <c r="O1433">
        <v>0</v>
      </c>
      <c r="P1433">
        <v>0</v>
      </c>
      <c r="Q1433">
        <v>0</v>
      </c>
      <c r="R1433">
        <v>0</v>
      </c>
      <c r="S1433">
        <v>0</v>
      </c>
    </row>
    <row r="1434" spans="4:19" x14ac:dyDescent="0.3">
      <c r="D1434">
        <v>6052780</v>
      </c>
      <c r="F1434">
        <f t="shared" si="22"/>
        <v>11</v>
      </c>
      <c r="N1434">
        <v>11</v>
      </c>
      <c r="O1434">
        <v>0</v>
      </c>
      <c r="P1434">
        <v>0</v>
      </c>
      <c r="Q1434">
        <v>0</v>
      </c>
      <c r="R1434">
        <v>0</v>
      </c>
      <c r="S1434">
        <v>0</v>
      </c>
    </row>
    <row r="1435" spans="4:19" x14ac:dyDescent="0.3">
      <c r="D1435">
        <v>6504843</v>
      </c>
      <c r="F1435">
        <f t="shared" si="22"/>
        <v>5</v>
      </c>
      <c r="N1435">
        <v>5</v>
      </c>
      <c r="O1435">
        <v>0</v>
      </c>
      <c r="P1435">
        <v>0</v>
      </c>
      <c r="Q1435">
        <v>0</v>
      </c>
      <c r="R1435">
        <v>0</v>
      </c>
      <c r="S1435">
        <v>0</v>
      </c>
    </row>
    <row r="1436" spans="4:19" x14ac:dyDescent="0.3">
      <c r="D1436">
        <v>6603955</v>
      </c>
      <c r="F1436">
        <f t="shared" si="22"/>
        <v>19</v>
      </c>
      <c r="N1436">
        <v>19</v>
      </c>
      <c r="O1436">
        <v>0</v>
      </c>
      <c r="P1436">
        <v>0</v>
      </c>
      <c r="Q1436">
        <v>0</v>
      </c>
      <c r="R1436">
        <v>0</v>
      </c>
      <c r="S1436">
        <v>0</v>
      </c>
    </row>
    <row r="1437" spans="4:19" x14ac:dyDescent="0.3">
      <c r="D1437">
        <v>6057144</v>
      </c>
      <c r="F1437">
        <f t="shared" si="22"/>
        <v>17</v>
      </c>
      <c r="N1437">
        <v>17</v>
      </c>
      <c r="O1437">
        <v>0</v>
      </c>
      <c r="P1437">
        <v>0</v>
      </c>
      <c r="Q1437">
        <v>0</v>
      </c>
      <c r="R1437">
        <v>0</v>
      </c>
      <c r="S1437">
        <v>0</v>
      </c>
    </row>
    <row r="1438" spans="4:19" x14ac:dyDescent="0.3">
      <c r="D1438">
        <v>6112231</v>
      </c>
      <c r="F1438">
        <f t="shared" si="22"/>
        <v>9</v>
      </c>
      <c r="N1438">
        <v>9</v>
      </c>
      <c r="O1438">
        <v>0</v>
      </c>
      <c r="P1438">
        <v>0</v>
      </c>
      <c r="Q1438">
        <v>0</v>
      </c>
      <c r="R1438">
        <v>0</v>
      </c>
      <c r="S1438">
        <v>0</v>
      </c>
    </row>
    <row r="1439" spans="4:19" x14ac:dyDescent="0.3">
      <c r="D1439">
        <v>6056565</v>
      </c>
      <c r="F1439">
        <f t="shared" si="22"/>
        <v>49</v>
      </c>
      <c r="N1439">
        <v>49</v>
      </c>
      <c r="O1439">
        <v>0</v>
      </c>
      <c r="P1439">
        <v>0</v>
      </c>
      <c r="Q1439">
        <v>0</v>
      </c>
      <c r="R1439">
        <v>0</v>
      </c>
      <c r="S1439">
        <v>0</v>
      </c>
    </row>
    <row r="1440" spans="4:19" x14ac:dyDescent="0.3">
      <c r="D1440">
        <v>6056570</v>
      </c>
      <c r="F1440">
        <f t="shared" si="22"/>
        <v>33</v>
      </c>
      <c r="N1440">
        <v>33</v>
      </c>
      <c r="O1440">
        <v>0</v>
      </c>
      <c r="P1440">
        <v>0</v>
      </c>
      <c r="Q1440">
        <v>0</v>
      </c>
      <c r="R1440">
        <v>0</v>
      </c>
      <c r="S1440">
        <v>0</v>
      </c>
    </row>
    <row r="1441" spans="4:19" x14ac:dyDescent="0.3">
      <c r="D1441">
        <v>6402759</v>
      </c>
      <c r="F1441">
        <f t="shared" si="22"/>
        <v>11</v>
      </c>
      <c r="N1441">
        <v>11</v>
      </c>
      <c r="O1441">
        <v>0</v>
      </c>
      <c r="P1441">
        <v>0</v>
      </c>
      <c r="Q1441">
        <v>0</v>
      </c>
      <c r="R1441">
        <v>0</v>
      </c>
      <c r="S1441">
        <v>0</v>
      </c>
    </row>
    <row r="1442" spans="4:19" x14ac:dyDescent="0.3">
      <c r="D1442">
        <v>6074035</v>
      </c>
      <c r="F1442">
        <f t="shared" si="22"/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</row>
    <row r="1443" spans="4:19" x14ac:dyDescent="0.3">
      <c r="D1443">
        <v>6164043</v>
      </c>
      <c r="F1443">
        <f t="shared" si="22"/>
        <v>4</v>
      </c>
      <c r="N1443">
        <v>4</v>
      </c>
      <c r="O1443">
        <v>0</v>
      </c>
      <c r="P1443">
        <v>0</v>
      </c>
      <c r="Q1443">
        <v>0</v>
      </c>
      <c r="R1443">
        <v>0</v>
      </c>
      <c r="S1443">
        <v>0</v>
      </c>
    </row>
    <row r="1444" spans="4:19" x14ac:dyDescent="0.3">
      <c r="D1444">
        <v>6017430</v>
      </c>
      <c r="F1444">
        <f t="shared" si="22"/>
        <v>18</v>
      </c>
      <c r="N1444">
        <v>18</v>
      </c>
      <c r="O1444">
        <v>0</v>
      </c>
      <c r="P1444">
        <v>0</v>
      </c>
      <c r="Q1444">
        <v>0</v>
      </c>
      <c r="R1444">
        <v>0</v>
      </c>
      <c r="S1444">
        <v>0</v>
      </c>
    </row>
    <row r="1445" spans="4:19" x14ac:dyDescent="0.3">
      <c r="D1445">
        <v>6182353</v>
      </c>
      <c r="F1445">
        <f t="shared" si="22"/>
        <v>5</v>
      </c>
      <c r="N1445">
        <v>5</v>
      </c>
      <c r="O1445">
        <v>0</v>
      </c>
      <c r="P1445">
        <v>0</v>
      </c>
      <c r="Q1445">
        <v>0</v>
      </c>
      <c r="R1445">
        <v>0</v>
      </c>
      <c r="S1445">
        <v>0</v>
      </c>
    </row>
    <row r="1446" spans="4:19" x14ac:dyDescent="0.3">
      <c r="D1446">
        <v>6504980</v>
      </c>
      <c r="F1446">
        <f t="shared" si="22"/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</row>
    <row r="1447" spans="4:19" x14ac:dyDescent="0.3">
      <c r="D1447">
        <v>6503740</v>
      </c>
      <c r="F1447">
        <f t="shared" si="22"/>
        <v>12</v>
      </c>
      <c r="N1447">
        <v>12</v>
      </c>
      <c r="O1447">
        <v>0</v>
      </c>
      <c r="P1447">
        <v>0</v>
      </c>
      <c r="Q1447">
        <v>0</v>
      </c>
      <c r="R1447">
        <v>0</v>
      </c>
      <c r="S1447">
        <v>0</v>
      </c>
    </row>
    <row r="1448" spans="4:19" x14ac:dyDescent="0.3">
      <c r="D1448">
        <v>6823624</v>
      </c>
      <c r="F1448">
        <f t="shared" si="22"/>
        <v>40</v>
      </c>
      <c r="N1448">
        <v>40</v>
      </c>
      <c r="O1448">
        <v>0</v>
      </c>
      <c r="P1448">
        <v>0</v>
      </c>
      <c r="Q1448">
        <v>0</v>
      </c>
      <c r="R1448">
        <v>0</v>
      </c>
      <c r="S1448">
        <v>0</v>
      </c>
    </row>
    <row r="1449" spans="4:19" x14ac:dyDescent="0.3">
      <c r="D1449">
        <v>6056970</v>
      </c>
      <c r="F1449">
        <f t="shared" si="22"/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</row>
    <row r="1450" spans="4:19" x14ac:dyDescent="0.3">
      <c r="D1450">
        <v>6059345</v>
      </c>
      <c r="F1450">
        <f t="shared" si="22"/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</row>
    <row r="1451" spans="4:19" x14ac:dyDescent="0.3">
      <c r="D1451">
        <v>6052695</v>
      </c>
      <c r="F1451">
        <f t="shared" si="22"/>
        <v>9</v>
      </c>
      <c r="N1451">
        <v>9</v>
      </c>
      <c r="O1451">
        <v>0</v>
      </c>
      <c r="P1451">
        <v>0</v>
      </c>
      <c r="Q1451">
        <v>0</v>
      </c>
      <c r="R1451">
        <v>0</v>
      </c>
      <c r="S1451">
        <v>0</v>
      </c>
    </row>
    <row r="1452" spans="4:19" x14ac:dyDescent="0.3">
      <c r="D1452">
        <v>6045418</v>
      </c>
      <c r="F1452">
        <f t="shared" si="22"/>
        <v>4</v>
      </c>
      <c r="N1452">
        <v>4</v>
      </c>
      <c r="O1452">
        <v>0</v>
      </c>
      <c r="P1452">
        <v>0</v>
      </c>
      <c r="Q1452">
        <v>0</v>
      </c>
      <c r="R1452">
        <v>0</v>
      </c>
      <c r="S1452">
        <v>0</v>
      </c>
    </row>
    <row r="1453" spans="4:19" x14ac:dyDescent="0.3">
      <c r="D1453">
        <v>6055314</v>
      </c>
      <c r="F1453">
        <f t="shared" si="22"/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</row>
    <row r="1454" spans="4:19" x14ac:dyDescent="0.3">
      <c r="D1454">
        <v>6825013</v>
      </c>
      <c r="F1454">
        <f t="shared" si="22"/>
        <v>11</v>
      </c>
      <c r="N1454">
        <v>11</v>
      </c>
      <c r="O1454">
        <v>0</v>
      </c>
      <c r="P1454">
        <v>0</v>
      </c>
      <c r="Q1454">
        <v>0</v>
      </c>
      <c r="R1454">
        <v>0</v>
      </c>
      <c r="S1454">
        <v>0</v>
      </c>
    </row>
    <row r="1455" spans="4:19" x14ac:dyDescent="0.3">
      <c r="D1455">
        <v>6272058</v>
      </c>
      <c r="F1455">
        <f t="shared" si="22"/>
        <v>10</v>
      </c>
      <c r="N1455">
        <v>10</v>
      </c>
      <c r="O1455">
        <v>0</v>
      </c>
      <c r="P1455">
        <v>0</v>
      </c>
      <c r="Q1455">
        <v>0</v>
      </c>
      <c r="R1455">
        <v>0</v>
      </c>
      <c r="S1455">
        <v>0</v>
      </c>
    </row>
    <row r="1456" spans="4:19" x14ac:dyDescent="0.3">
      <c r="D1456">
        <v>6272068</v>
      </c>
      <c r="F1456">
        <f t="shared" si="22"/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</row>
    <row r="1457" spans="4:19" x14ac:dyDescent="0.3">
      <c r="D1457">
        <v>6164044</v>
      </c>
      <c r="F1457">
        <f t="shared" si="22"/>
        <v>3</v>
      </c>
      <c r="N1457">
        <v>3</v>
      </c>
      <c r="O1457">
        <v>0</v>
      </c>
      <c r="P1457">
        <v>0</v>
      </c>
      <c r="Q1457">
        <v>0</v>
      </c>
      <c r="R1457">
        <v>0</v>
      </c>
      <c r="S1457">
        <v>0</v>
      </c>
    </row>
    <row r="1458" spans="4:19" x14ac:dyDescent="0.3">
      <c r="D1458">
        <v>6254136</v>
      </c>
      <c r="F1458">
        <f t="shared" si="22"/>
        <v>66</v>
      </c>
      <c r="N1458">
        <v>66</v>
      </c>
      <c r="O1458">
        <v>0</v>
      </c>
      <c r="P1458">
        <v>0</v>
      </c>
      <c r="Q1458">
        <v>0</v>
      </c>
      <c r="R1458">
        <v>0</v>
      </c>
      <c r="S1458">
        <v>0</v>
      </c>
    </row>
    <row r="1459" spans="4:19" x14ac:dyDescent="0.3">
      <c r="D1459">
        <v>6017429</v>
      </c>
      <c r="F1459">
        <f t="shared" si="22"/>
        <v>31</v>
      </c>
      <c r="N1459">
        <v>31</v>
      </c>
      <c r="O1459">
        <v>0</v>
      </c>
      <c r="P1459">
        <v>0</v>
      </c>
      <c r="Q1459">
        <v>0</v>
      </c>
      <c r="R1459">
        <v>0</v>
      </c>
      <c r="S1459">
        <v>0</v>
      </c>
    </row>
    <row r="1460" spans="4:19" x14ac:dyDescent="0.3">
      <c r="D1460">
        <v>6502912</v>
      </c>
      <c r="F1460">
        <f t="shared" si="22"/>
        <v>12</v>
      </c>
      <c r="N1460">
        <v>12</v>
      </c>
      <c r="O1460">
        <v>0</v>
      </c>
      <c r="P1460">
        <v>0</v>
      </c>
      <c r="Q1460">
        <v>0</v>
      </c>
      <c r="R1460">
        <v>0</v>
      </c>
      <c r="S1460">
        <v>0</v>
      </c>
    </row>
    <row r="1461" spans="4:19" x14ac:dyDescent="0.3">
      <c r="D1461">
        <v>6503837</v>
      </c>
      <c r="F1461">
        <f t="shared" si="22"/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</row>
    <row r="1462" spans="4:19" x14ac:dyDescent="0.3">
      <c r="D1462">
        <v>6602558</v>
      </c>
      <c r="F1462">
        <f t="shared" si="22"/>
        <v>42</v>
      </c>
      <c r="N1462">
        <v>42</v>
      </c>
      <c r="O1462">
        <v>0</v>
      </c>
      <c r="P1462">
        <v>0</v>
      </c>
      <c r="Q1462">
        <v>0</v>
      </c>
      <c r="R1462">
        <v>0</v>
      </c>
      <c r="S1462">
        <v>0</v>
      </c>
    </row>
    <row r="1463" spans="4:19" x14ac:dyDescent="0.3">
      <c r="D1463">
        <v>6016607</v>
      </c>
      <c r="F1463">
        <f t="shared" si="22"/>
        <v>7</v>
      </c>
      <c r="N1463">
        <v>7</v>
      </c>
      <c r="O1463">
        <v>0</v>
      </c>
      <c r="P1463">
        <v>0</v>
      </c>
      <c r="Q1463">
        <v>0</v>
      </c>
      <c r="R1463">
        <v>0</v>
      </c>
      <c r="S1463">
        <v>0</v>
      </c>
    </row>
    <row r="1464" spans="4:19" x14ac:dyDescent="0.3">
      <c r="D1464">
        <v>6052667</v>
      </c>
      <c r="F1464">
        <f t="shared" si="22"/>
        <v>1</v>
      </c>
      <c r="N1464">
        <v>1</v>
      </c>
      <c r="O1464">
        <v>0</v>
      </c>
      <c r="P1464">
        <v>0</v>
      </c>
      <c r="Q1464">
        <v>0</v>
      </c>
      <c r="R1464">
        <v>0</v>
      </c>
      <c r="S1464">
        <v>0</v>
      </c>
    </row>
    <row r="1465" spans="4:19" x14ac:dyDescent="0.3">
      <c r="D1465">
        <v>6056615</v>
      </c>
      <c r="F1465">
        <f t="shared" si="22"/>
        <v>8</v>
      </c>
      <c r="N1465">
        <v>8</v>
      </c>
      <c r="O1465">
        <v>0</v>
      </c>
      <c r="P1465">
        <v>0</v>
      </c>
      <c r="Q1465">
        <v>0</v>
      </c>
      <c r="R1465">
        <v>0</v>
      </c>
      <c r="S1465">
        <v>0</v>
      </c>
    </row>
    <row r="1466" spans="4:19" x14ac:dyDescent="0.3">
      <c r="D1466">
        <v>6056741</v>
      </c>
      <c r="F1466">
        <f t="shared" si="22"/>
        <v>6</v>
      </c>
      <c r="N1466">
        <v>6</v>
      </c>
      <c r="O1466">
        <v>0</v>
      </c>
      <c r="P1466">
        <v>0</v>
      </c>
      <c r="Q1466">
        <v>0</v>
      </c>
      <c r="R1466">
        <v>0</v>
      </c>
      <c r="S1466">
        <v>0</v>
      </c>
    </row>
    <row r="1467" spans="4:19" x14ac:dyDescent="0.3">
      <c r="D1467">
        <v>6509198</v>
      </c>
      <c r="F1467">
        <f t="shared" si="22"/>
        <v>11</v>
      </c>
      <c r="N1467">
        <v>11</v>
      </c>
      <c r="O1467">
        <v>0</v>
      </c>
      <c r="P1467">
        <v>0</v>
      </c>
      <c r="Q1467">
        <v>0</v>
      </c>
      <c r="R1467">
        <v>0</v>
      </c>
      <c r="S1467">
        <v>0</v>
      </c>
    </row>
    <row r="1468" spans="4:19" x14ac:dyDescent="0.3">
      <c r="D1468">
        <v>6602190</v>
      </c>
      <c r="F1468">
        <f t="shared" si="22"/>
        <v>12</v>
      </c>
      <c r="N1468">
        <v>12</v>
      </c>
      <c r="O1468">
        <v>0</v>
      </c>
      <c r="P1468">
        <v>0</v>
      </c>
      <c r="Q1468">
        <v>0</v>
      </c>
      <c r="R1468">
        <v>0</v>
      </c>
      <c r="S1468">
        <v>0</v>
      </c>
    </row>
    <row r="1469" spans="4:19" x14ac:dyDescent="0.3">
      <c r="D1469">
        <v>6052850</v>
      </c>
      <c r="F1469">
        <f t="shared" si="22"/>
        <v>1</v>
      </c>
      <c r="N1469">
        <v>1</v>
      </c>
      <c r="O1469">
        <v>0</v>
      </c>
      <c r="P1469">
        <v>0</v>
      </c>
      <c r="Q1469">
        <v>0</v>
      </c>
      <c r="R1469">
        <v>0</v>
      </c>
      <c r="S1469">
        <v>0</v>
      </c>
    </row>
    <row r="1470" spans="4:19" x14ac:dyDescent="0.3">
      <c r="D1470">
        <v>6124237</v>
      </c>
      <c r="F1470">
        <f t="shared" si="22"/>
        <v>2</v>
      </c>
      <c r="N1470">
        <v>2</v>
      </c>
      <c r="O1470">
        <v>0</v>
      </c>
      <c r="P1470">
        <v>0</v>
      </c>
      <c r="Q1470">
        <v>0</v>
      </c>
      <c r="R1470">
        <v>0</v>
      </c>
      <c r="S1470">
        <v>0</v>
      </c>
    </row>
    <row r="1471" spans="4:19" x14ac:dyDescent="0.3">
      <c r="D1471" t="s">
        <v>27</v>
      </c>
      <c r="F1471">
        <f t="shared" si="22"/>
        <v>20</v>
      </c>
      <c r="N1471">
        <v>20</v>
      </c>
      <c r="O1471">
        <v>0</v>
      </c>
      <c r="P1471">
        <v>0</v>
      </c>
      <c r="Q1471">
        <v>0</v>
      </c>
      <c r="R1471">
        <v>0</v>
      </c>
      <c r="S1471">
        <v>0</v>
      </c>
    </row>
    <row r="1472" spans="4:19" x14ac:dyDescent="0.3">
      <c r="D1472">
        <v>6056598</v>
      </c>
      <c r="F1472">
        <f t="shared" si="22"/>
        <v>184</v>
      </c>
      <c r="N1472">
        <v>184</v>
      </c>
      <c r="O1472">
        <v>0</v>
      </c>
      <c r="P1472">
        <v>0</v>
      </c>
      <c r="Q1472">
        <v>0</v>
      </c>
      <c r="R1472">
        <v>0</v>
      </c>
      <c r="S1472">
        <v>0</v>
      </c>
    </row>
    <row r="1473" spans="4:19" x14ac:dyDescent="0.3">
      <c r="D1473">
        <v>6824518</v>
      </c>
      <c r="F1473">
        <f t="shared" si="22"/>
        <v>9</v>
      </c>
      <c r="N1473">
        <v>9</v>
      </c>
      <c r="O1473">
        <v>0</v>
      </c>
      <c r="P1473">
        <v>0</v>
      </c>
      <c r="Q1473">
        <v>0</v>
      </c>
      <c r="R1473">
        <v>0</v>
      </c>
      <c r="S1473">
        <v>0</v>
      </c>
    </row>
    <row r="1474" spans="4:19" x14ac:dyDescent="0.3">
      <c r="D1474">
        <v>6124058</v>
      </c>
      <c r="F1474">
        <f t="shared" si="22"/>
        <v>34</v>
      </c>
      <c r="N1474">
        <v>34</v>
      </c>
      <c r="O1474">
        <v>0</v>
      </c>
      <c r="P1474">
        <v>0</v>
      </c>
      <c r="Q1474">
        <v>0</v>
      </c>
      <c r="R1474">
        <v>0</v>
      </c>
      <c r="S1474">
        <v>0</v>
      </c>
    </row>
    <row r="1475" spans="4:19" x14ac:dyDescent="0.3">
      <c r="D1475" t="s">
        <v>2</v>
      </c>
      <c r="F1475">
        <f t="shared" ref="F1475:F1538" si="23">SUMIF(N1475:S1475,"&gt;=0")</f>
        <v>331</v>
      </c>
      <c r="N1475">
        <v>331</v>
      </c>
      <c r="O1475">
        <v>0</v>
      </c>
      <c r="P1475">
        <v>0</v>
      </c>
      <c r="Q1475">
        <v>0</v>
      </c>
      <c r="R1475">
        <v>0</v>
      </c>
      <c r="S1475">
        <v>0</v>
      </c>
    </row>
    <row r="1476" spans="4:19" x14ac:dyDescent="0.3">
      <c r="D1476">
        <v>6017614</v>
      </c>
      <c r="F1476">
        <f t="shared" si="23"/>
        <v>39</v>
      </c>
      <c r="N1476">
        <v>38</v>
      </c>
      <c r="O1476">
        <v>0</v>
      </c>
      <c r="P1476">
        <v>1</v>
      </c>
      <c r="Q1476">
        <v>0</v>
      </c>
      <c r="R1476">
        <v>0</v>
      </c>
      <c r="S1476">
        <v>0</v>
      </c>
    </row>
    <row r="1477" spans="4:19" x14ac:dyDescent="0.3">
      <c r="D1477">
        <v>6013678</v>
      </c>
      <c r="F1477">
        <f t="shared" si="23"/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</row>
    <row r="1478" spans="4:19" x14ac:dyDescent="0.3">
      <c r="D1478">
        <v>6053864</v>
      </c>
      <c r="F1478">
        <f t="shared" si="23"/>
        <v>196</v>
      </c>
      <c r="N1478">
        <v>196</v>
      </c>
      <c r="O1478">
        <v>0</v>
      </c>
      <c r="P1478">
        <v>0</v>
      </c>
      <c r="Q1478">
        <v>0</v>
      </c>
      <c r="R1478">
        <v>0</v>
      </c>
      <c r="S1478">
        <v>0</v>
      </c>
    </row>
    <row r="1479" spans="4:19" x14ac:dyDescent="0.3">
      <c r="D1479">
        <v>6503838</v>
      </c>
      <c r="F1479">
        <f t="shared" si="23"/>
        <v>22</v>
      </c>
      <c r="N1479">
        <v>22</v>
      </c>
      <c r="O1479">
        <v>0</v>
      </c>
      <c r="P1479">
        <v>0</v>
      </c>
      <c r="Q1479">
        <v>0</v>
      </c>
      <c r="R1479">
        <v>0</v>
      </c>
      <c r="S1479">
        <v>0</v>
      </c>
    </row>
    <row r="1480" spans="4:19" x14ac:dyDescent="0.3">
      <c r="D1480">
        <v>5703379</v>
      </c>
      <c r="F1480">
        <f t="shared" si="23"/>
        <v>10</v>
      </c>
      <c r="N1480">
        <v>10</v>
      </c>
      <c r="O1480">
        <v>0</v>
      </c>
      <c r="P1480">
        <v>0</v>
      </c>
      <c r="Q1480">
        <v>0</v>
      </c>
      <c r="R1480">
        <v>0</v>
      </c>
      <c r="S1480">
        <v>0</v>
      </c>
    </row>
    <row r="1481" spans="4:19" x14ac:dyDescent="0.3">
      <c r="D1481">
        <v>6056445</v>
      </c>
      <c r="F1481">
        <f t="shared" si="23"/>
        <v>62</v>
      </c>
      <c r="N1481">
        <v>62</v>
      </c>
      <c r="O1481">
        <v>0</v>
      </c>
      <c r="P1481">
        <v>0</v>
      </c>
      <c r="Q1481">
        <v>0</v>
      </c>
      <c r="R1481">
        <v>0</v>
      </c>
      <c r="S1481">
        <v>0</v>
      </c>
    </row>
    <row r="1482" spans="4:19" x14ac:dyDescent="0.3">
      <c r="D1482">
        <v>5813868</v>
      </c>
      <c r="F1482">
        <f t="shared" si="23"/>
        <v>17</v>
      </c>
      <c r="N1482">
        <v>17</v>
      </c>
      <c r="O1482">
        <v>0</v>
      </c>
      <c r="P1482">
        <v>0</v>
      </c>
      <c r="Q1482">
        <v>0</v>
      </c>
      <c r="R1482">
        <v>0</v>
      </c>
      <c r="S1482">
        <v>0</v>
      </c>
    </row>
    <row r="1483" spans="4:19" x14ac:dyDescent="0.3">
      <c r="D1483">
        <v>6056540</v>
      </c>
      <c r="F1483">
        <f t="shared" si="23"/>
        <v>348</v>
      </c>
      <c r="N1483">
        <v>348</v>
      </c>
      <c r="O1483">
        <v>0</v>
      </c>
      <c r="P1483">
        <v>0</v>
      </c>
      <c r="Q1483">
        <v>0</v>
      </c>
      <c r="R1483">
        <v>0</v>
      </c>
      <c r="S1483">
        <v>0</v>
      </c>
    </row>
    <row r="1484" spans="4:19" x14ac:dyDescent="0.3">
      <c r="D1484">
        <v>6823929</v>
      </c>
      <c r="F1484">
        <f t="shared" si="23"/>
        <v>33</v>
      </c>
      <c r="N1484">
        <v>33</v>
      </c>
      <c r="O1484">
        <v>0</v>
      </c>
      <c r="P1484">
        <v>0</v>
      </c>
      <c r="Q1484">
        <v>0</v>
      </c>
      <c r="R1484">
        <v>0</v>
      </c>
      <c r="S1484">
        <v>0</v>
      </c>
    </row>
    <row r="1485" spans="4:19" x14ac:dyDescent="0.3">
      <c r="D1485">
        <v>6056568</v>
      </c>
      <c r="F1485">
        <f t="shared" si="23"/>
        <v>45</v>
      </c>
      <c r="N1485">
        <v>45</v>
      </c>
      <c r="O1485">
        <v>0</v>
      </c>
      <c r="P1485">
        <v>0</v>
      </c>
      <c r="Q1485">
        <v>0</v>
      </c>
      <c r="R1485">
        <v>0</v>
      </c>
      <c r="S1485">
        <v>0</v>
      </c>
    </row>
    <row r="1486" spans="4:19" x14ac:dyDescent="0.3">
      <c r="D1486">
        <v>6824223</v>
      </c>
      <c r="F1486">
        <f t="shared" si="23"/>
        <v>11</v>
      </c>
      <c r="N1486">
        <v>11</v>
      </c>
      <c r="O1486">
        <v>0</v>
      </c>
      <c r="P1486">
        <v>0</v>
      </c>
      <c r="Q1486">
        <v>0</v>
      </c>
      <c r="R1486">
        <v>0</v>
      </c>
      <c r="S1486">
        <v>0</v>
      </c>
    </row>
    <row r="1487" spans="4:19" x14ac:dyDescent="0.3">
      <c r="D1487">
        <v>6017700</v>
      </c>
      <c r="F1487">
        <f t="shared" si="23"/>
        <v>234</v>
      </c>
      <c r="N1487">
        <v>234</v>
      </c>
      <c r="O1487">
        <v>0</v>
      </c>
      <c r="P1487">
        <v>0</v>
      </c>
      <c r="Q1487">
        <v>0</v>
      </c>
      <c r="R1487">
        <v>0</v>
      </c>
      <c r="S1487">
        <v>0</v>
      </c>
    </row>
    <row r="1488" spans="4:19" x14ac:dyDescent="0.3">
      <c r="D1488">
        <v>6505799</v>
      </c>
      <c r="F1488">
        <f t="shared" si="23"/>
        <v>10</v>
      </c>
      <c r="N1488">
        <v>10</v>
      </c>
      <c r="O1488">
        <v>0</v>
      </c>
      <c r="P1488">
        <v>0</v>
      </c>
      <c r="Q1488">
        <v>0</v>
      </c>
      <c r="R1488">
        <v>0</v>
      </c>
      <c r="S1488">
        <v>0</v>
      </c>
    </row>
    <row r="1489" spans="4:19" x14ac:dyDescent="0.3">
      <c r="D1489">
        <v>6602268</v>
      </c>
      <c r="F1489">
        <f t="shared" si="23"/>
        <v>56</v>
      </c>
      <c r="N1489">
        <v>56</v>
      </c>
      <c r="O1489">
        <v>0</v>
      </c>
      <c r="P1489">
        <v>0</v>
      </c>
      <c r="Q1489">
        <v>0</v>
      </c>
      <c r="R1489">
        <v>0</v>
      </c>
      <c r="S1489">
        <v>0</v>
      </c>
    </row>
    <row r="1490" spans="4:19" x14ac:dyDescent="0.3">
      <c r="D1490">
        <v>6164097</v>
      </c>
      <c r="F1490">
        <f t="shared" si="23"/>
        <v>18</v>
      </c>
      <c r="N1490">
        <v>18</v>
      </c>
      <c r="O1490">
        <v>0</v>
      </c>
      <c r="P1490">
        <v>0</v>
      </c>
      <c r="Q1490">
        <v>0</v>
      </c>
      <c r="R1490">
        <v>0</v>
      </c>
      <c r="S1490">
        <v>0</v>
      </c>
    </row>
    <row r="1491" spans="4:19" x14ac:dyDescent="0.3">
      <c r="D1491">
        <v>6502365</v>
      </c>
      <c r="F1491">
        <f t="shared" si="23"/>
        <v>13</v>
      </c>
      <c r="N1491">
        <v>13</v>
      </c>
      <c r="O1491">
        <v>0</v>
      </c>
      <c r="P1491">
        <v>0</v>
      </c>
      <c r="Q1491">
        <v>0</v>
      </c>
      <c r="R1491">
        <v>0</v>
      </c>
      <c r="S1491">
        <v>0</v>
      </c>
    </row>
    <row r="1492" spans="4:19" x14ac:dyDescent="0.3">
      <c r="D1492">
        <v>6502566</v>
      </c>
      <c r="F1492">
        <f t="shared" si="23"/>
        <v>7</v>
      </c>
      <c r="N1492">
        <v>7</v>
      </c>
      <c r="O1492">
        <v>0</v>
      </c>
      <c r="P1492">
        <v>0</v>
      </c>
      <c r="Q1492">
        <v>0</v>
      </c>
      <c r="R1492">
        <v>0</v>
      </c>
      <c r="S1492">
        <v>0</v>
      </c>
    </row>
    <row r="1493" spans="4:19" x14ac:dyDescent="0.3">
      <c r="D1493">
        <v>6272083</v>
      </c>
      <c r="F1493">
        <f t="shared" si="23"/>
        <v>12</v>
      </c>
      <c r="N1493">
        <v>12</v>
      </c>
      <c r="O1493">
        <v>0</v>
      </c>
      <c r="P1493">
        <v>0</v>
      </c>
      <c r="Q1493">
        <v>0</v>
      </c>
      <c r="R1493">
        <v>0</v>
      </c>
      <c r="S1493">
        <v>0</v>
      </c>
    </row>
    <row r="1494" spans="4:19" x14ac:dyDescent="0.3">
      <c r="D1494" t="s">
        <v>29</v>
      </c>
      <c r="F1494">
        <f t="shared" si="23"/>
        <v>6</v>
      </c>
      <c r="N1494">
        <v>6</v>
      </c>
      <c r="O1494">
        <v>0</v>
      </c>
      <c r="P1494">
        <v>0</v>
      </c>
      <c r="Q1494">
        <v>0</v>
      </c>
      <c r="R1494">
        <v>0</v>
      </c>
      <c r="S1494">
        <v>0</v>
      </c>
    </row>
    <row r="1495" spans="4:19" x14ac:dyDescent="0.3">
      <c r="D1495">
        <v>6502360</v>
      </c>
      <c r="F1495">
        <f t="shared" si="23"/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</row>
    <row r="1496" spans="4:19" x14ac:dyDescent="0.3">
      <c r="D1496">
        <v>6508460</v>
      </c>
      <c r="F1496">
        <f t="shared" si="23"/>
        <v>20</v>
      </c>
      <c r="N1496">
        <v>20</v>
      </c>
      <c r="O1496">
        <v>0</v>
      </c>
      <c r="P1496">
        <v>0</v>
      </c>
      <c r="Q1496">
        <v>0</v>
      </c>
      <c r="R1496">
        <v>0</v>
      </c>
      <c r="S1496">
        <v>0</v>
      </c>
    </row>
    <row r="1497" spans="4:19" x14ac:dyDescent="0.3">
      <c r="D1497">
        <v>6824452</v>
      </c>
      <c r="F1497">
        <f t="shared" si="23"/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</row>
    <row r="1498" spans="4:19" x14ac:dyDescent="0.3">
      <c r="D1498">
        <v>6055918</v>
      </c>
      <c r="F1498">
        <f t="shared" si="23"/>
        <v>51</v>
      </c>
      <c r="N1498">
        <v>51</v>
      </c>
      <c r="O1498">
        <v>0</v>
      </c>
      <c r="P1498">
        <v>0</v>
      </c>
      <c r="Q1498">
        <v>0</v>
      </c>
      <c r="R1498">
        <v>0</v>
      </c>
      <c r="S1498">
        <v>0</v>
      </c>
    </row>
    <row r="1499" spans="4:19" x14ac:dyDescent="0.3">
      <c r="D1499">
        <v>6152824</v>
      </c>
      <c r="F1499">
        <f t="shared" si="23"/>
        <v>112</v>
      </c>
      <c r="N1499">
        <v>112</v>
      </c>
      <c r="O1499">
        <v>0</v>
      </c>
      <c r="P1499">
        <v>0</v>
      </c>
      <c r="Q1499">
        <v>0</v>
      </c>
      <c r="R1499">
        <v>0</v>
      </c>
      <c r="S1499">
        <v>0</v>
      </c>
    </row>
    <row r="1500" spans="4:19" x14ac:dyDescent="0.3">
      <c r="D1500">
        <v>6152745</v>
      </c>
      <c r="F1500">
        <f t="shared" si="23"/>
        <v>194</v>
      </c>
      <c r="N1500">
        <v>194</v>
      </c>
      <c r="O1500">
        <v>0</v>
      </c>
      <c r="P1500">
        <v>0</v>
      </c>
      <c r="Q1500">
        <v>0</v>
      </c>
      <c r="R1500">
        <v>0</v>
      </c>
      <c r="S1500">
        <v>0</v>
      </c>
    </row>
    <row r="1501" spans="4:19" x14ac:dyDescent="0.3">
      <c r="D1501">
        <v>6154489</v>
      </c>
      <c r="F1501">
        <f t="shared" si="23"/>
        <v>161</v>
      </c>
      <c r="N1501">
        <v>161</v>
      </c>
      <c r="O1501">
        <v>0</v>
      </c>
      <c r="P1501">
        <v>0</v>
      </c>
      <c r="Q1501">
        <v>0</v>
      </c>
      <c r="R1501">
        <v>0</v>
      </c>
      <c r="S1501">
        <v>0</v>
      </c>
    </row>
    <row r="1502" spans="4:19" x14ac:dyDescent="0.3">
      <c r="D1502">
        <v>6152221</v>
      </c>
      <c r="F1502">
        <f t="shared" si="23"/>
        <v>128</v>
      </c>
      <c r="N1502">
        <v>128</v>
      </c>
      <c r="O1502">
        <v>0</v>
      </c>
      <c r="P1502">
        <v>0</v>
      </c>
      <c r="Q1502">
        <v>0</v>
      </c>
      <c r="R1502">
        <v>0</v>
      </c>
      <c r="S1502">
        <v>0</v>
      </c>
    </row>
    <row r="1503" spans="4:19" x14ac:dyDescent="0.3">
      <c r="D1503">
        <v>6203016</v>
      </c>
      <c r="F1503">
        <f t="shared" si="23"/>
        <v>110</v>
      </c>
      <c r="N1503">
        <v>110</v>
      </c>
      <c r="O1503">
        <v>0</v>
      </c>
      <c r="P1503">
        <v>0</v>
      </c>
      <c r="Q1503">
        <v>0</v>
      </c>
      <c r="R1503">
        <v>0</v>
      </c>
      <c r="S1503">
        <v>0</v>
      </c>
    </row>
    <row r="1504" spans="4:19" x14ac:dyDescent="0.3">
      <c r="D1504">
        <v>6050200</v>
      </c>
      <c r="F1504">
        <f t="shared" si="23"/>
        <v>111</v>
      </c>
      <c r="N1504">
        <v>111</v>
      </c>
      <c r="O1504">
        <v>0</v>
      </c>
      <c r="P1504">
        <v>0</v>
      </c>
      <c r="Q1504">
        <v>0</v>
      </c>
      <c r="R1504">
        <v>0</v>
      </c>
      <c r="S1504">
        <v>0</v>
      </c>
    </row>
    <row r="1505" spans="4:19" x14ac:dyDescent="0.3">
      <c r="D1505">
        <v>5500220</v>
      </c>
      <c r="F1505">
        <f t="shared" si="23"/>
        <v>19</v>
      </c>
      <c r="N1505">
        <v>19</v>
      </c>
      <c r="O1505">
        <v>0</v>
      </c>
      <c r="P1505">
        <v>0</v>
      </c>
      <c r="Q1505">
        <v>0</v>
      </c>
      <c r="R1505">
        <v>0</v>
      </c>
      <c r="S1505">
        <v>0</v>
      </c>
    </row>
    <row r="1506" spans="4:19" x14ac:dyDescent="0.3">
      <c r="D1506" t="s">
        <v>308</v>
      </c>
      <c r="F1506">
        <f t="shared" si="23"/>
        <v>3</v>
      </c>
      <c r="N1506">
        <v>3</v>
      </c>
      <c r="O1506">
        <v>0</v>
      </c>
      <c r="P1506">
        <v>0</v>
      </c>
      <c r="Q1506">
        <v>0</v>
      </c>
      <c r="R1506">
        <v>0</v>
      </c>
      <c r="S1506">
        <v>0</v>
      </c>
    </row>
    <row r="1507" spans="4:19" x14ac:dyDescent="0.3">
      <c r="D1507">
        <v>6288641</v>
      </c>
      <c r="F1507">
        <f t="shared" si="23"/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</row>
    <row r="1508" spans="4:19" x14ac:dyDescent="0.3">
      <c r="D1508">
        <v>6288641</v>
      </c>
      <c r="F1508">
        <f t="shared" si="23"/>
        <v>3</v>
      </c>
      <c r="N1508">
        <v>3</v>
      </c>
      <c r="O1508">
        <v>0</v>
      </c>
      <c r="P1508">
        <v>0</v>
      </c>
      <c r="Q1508">
        <v>0</v>
      </c>
      <c r="R1508">
        <v>0</v>
      </c>
      <c r="S1508">
        <v>0</v>
      </c>
    </row>
    <row r="1509" spans="4:19" x14ac:dyDescent="0.3">
      <c r="D1509">
        <v>6283672</v>
      </c>
      <c r="F1509">
        <f t="shared" si="23"/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</row>
    <row r="1510" spans="4:19" x14ac:dyDescent="0.3">
      <c r="D1510">
        <v>6288736</v>
      </c>
      <c r="F1510">
        <f t="shared" si="23"/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</row>
    <row r="1511" spans="4:19" x14ac:dyDescent="0.3">
      <c r="D1511">
        <v>6288786</v>
      </c>
      <c r="F1511">
        <f t="shared" si="23"/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</row>
    <row r="1512" spans="4:19" x14ac:dyDescent="0.3">
      <c r="D1512">
        <v>6288788</v>
      </c>
      <c r="F1512">
        <f t="shared" si="23"/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</row>
    <row r="1513" spans="4:19" x14ac:dyDescent="0.3">
      <c r="D1513">
        <v>6288807</v>
      </c>
      <c r="F1513">
        <f t="shared" si="23"/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</row>
    <row r="1514" spans="4:19" x14ac:dyDescent="0.3">
      <c r="D1514">
        <v>6283672</v>
      </c>
      <c r="F1514">
        <f t="shared" si="23"/>
        <v>2</v>
      </c>
      <c r="N1514">
        <v>2</v>
      </c>
      <c r="O1514">
        <v>0</v>
      </c>
      <c r="P1514">
        <v>0</v>
      </c>
      <c r="Q1514">
        <v>0</v>
      </c>
      <c r="R1514">
        <v>0</v>
      </c>
      <c r="S1514">
        <v>0</v>
      </c>
    </row>
    <row r="1515" spans="4:19" x14ac:dyDescent="0.3">
      <c r="D1515">
        <v>6288736</v>
      </c>
      <c r="F1515">
        <f t="shared" si="23"/>
        <v>3</v>
      </c>
      <c r="N1515">
        <v>3</v>
      </c>
      <c r="O1515">
        <v>0</v>
      </c>
      <c r="P1515">
        <v>0</v>
      </c>
      <c r="Q1515">
        <v>0</v>
      </c>
      <c r="R1515">
        <v>0</v>
      </c>
      <c r="S1515">
        <v>0</v>
      </c>
    </row>
    <row r="1516" spans="4:19" x14ac:dyDescent="0.3">
      <c r="D1516">
        <v>6288786</v>
      </c>
      <c r="F1516">
        <f t="shared" si="23"/>
        <v>3</v>
      </c>
      <c r="N1516">
        <v>3</v>
      </c>
      <c r="O1516">
        <v>0</v>
      </c>
      <c r="P1516">
        <v>0</v>
      </c>
      <c r="Q1516">
        <v>0</v>
      </c>
      <c r="R1516">
        <v>0</v>
      </c>
      <c r="S1516">
        <v>0</v>
      </c>
    </row>
    <row r="1517" spans="4:19" x14ac:dyDescent="0.3">
      <c r="D1517">
        <v>6288788</v>
      </c>
      <c r="F1517">
        <f t="shared" si="23"/>
        <v>1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0</v>
      </c>
    </row>
    <row r="1518" spans="4:19" x14ac:dyDescent="0.3">
      <c r="D1518">
        <v>6288807</v>
      </c>
      <c r="F1518">
        <f t="shared" si="23"/>
        <v>5</v>
      </c>
      <c r="N1518">
        <v>5</v>
      </c>
      <c r="O1518">
        <v>0</v>
      </c>
      <c r="P1518">
        <v>0</v>
      </c>
      <c r="Q1518">
        <v>0</v>
      </c>
      <c r="R1518">
        <v>0</v>
      </c>
      <c r="S1518">
        <v>0</v>
      </c>
    </row>
    <row r="1519" spans="4:19" x14ac:dyDescent="0.3">
      <c r="D1519">
        <v>6281171</v>
      </c>
      <c r="F1519">
        <f t="shared" si="23"/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</row>
    <row r="1520" spans="4:19" x14ac:dyDescent="0.3">
      <c r="D1520">
        <v>6281171</v>
      </c>
      <c r="F1520">
        <f t="shared" si="23"/>
        <v>4</v>
      </c>
      <c r="N1520">
        <v>4</v>
      </c>
      <c r="O1520">
        <v>0</v>
      </c>
      <c r="P1520">
        <v>0</v>
      </c>
      <c r="Q1520">
        <v>0</v>
      </c>
      <c r="R1520">
        <v>0</v>
      </c>
      <c r="S1520">
        <v>0</v>
      </c>
    </row>
    <row r="1521" spans="4:19" x14ac:dyDescent="0.3">
      <c r="D1521">
        <v>5140203</v>
      </c>
      <c r="F1521">
        <f t="shared" si="23"/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</row>
    <row r="1522" spans="4:19" x14ac:dyDescent="0.3">
      <c r="D1522">
        <v>320003</v>
      </c>
      <c r="F1522">
        <f t="shared" si="23"/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</row>
    <row r="1523" spans="4:19" x14ac:dyDescent="0.3">
      <c r="D1523">
        <v>320504</v>
      </c>
      <c r="F1523">
        <f t="shared" si="23"/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</row>
    <row r="1524" spans="4:19" x14ac:dyDescent="0.3">
      <c r="D1524">
        <v>6012604</v>
      </c>
      <c r="F1524">
        <f t="shared" si="23"/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</row>
    <row r="1525" spans="4:19" x14ac:dyDescent="0.3">
      <c r="D1525">
        <v>6017413</v>
      </c>
      <c r="F1525">
        <f t="shared" si="23"/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</row>
    <row r="1526" spans="4:19" x14ac:dyDescent="0.3">
      <c r="D1526" t="s">
        <v>24</v>
      </c>
      <c r="F1526">
        <f t="shared" si="23"/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</row>
    <row r="1527" spans="4:19" x14ac:dyDescent="0.3">
      <c r="D1527" t="s">
        <v>35</v>
      </c>
      <c r="F1527">
        <f t="shared" si="23"/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</row>
    <row r="1528" spans="4:19" x14ac:dyDescent="0.3">
      <c r="D1528" t="s">
        <v>37</v>
      </c>
      <c r="F1528">
        <f t="shared" si="23"/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</row>
    <row r="1529" spans="4:19" x14ac:dyDescent="0.3">
      <c r="D1529">
        <v>6012123</v>
      </c>
      <c r="F1529">
        <f t="shared" si="23"/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</row>
    <row r="1530" spans="4:19" x14ac:dyDescent="0.3">
      <c r="D1530" t="s">
        <v>16</v>
      </c>
      <c r="F1530">
        <f t="shared" si="23"/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</row>
    <row r="1531" spans="4:19" x14ac:dyDescent="0.3">
      <c r="D1531">
        <v>6054444</v>
      </c>
      <c r="F1531">
        <f t="shared" si="23"/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</row>
    <row r="1532" spans="4:19" x14ac:dyDescent="0.3">
      <c r="D1532">
        <v>6051006500</v>
      </c>
      <c r="F1532">
        <f t="shared" si="23"/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</row>
    <row r="1533" spans="4:19" x14ac:dyDescent="0.3">
      <c r="D1533">
        <v>6059284</v>
      </c>
      <c r="F1533">
        <f t="shared" si="23"/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</row>
    <row r="1534" spans="4:19" x14ac:dyDescent="0.3">
      <c r="D1534" t="s">
        <v>25</v>
      </c>
      <c r="F1534">
        <f t="shared" si="23"/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</row>
    <row r="1535" spans="4:19" x14ac:dyDescent="0.3">
      <c r="D1535">
        <v>6058457</v>
      </c>
      <c r="F1535">
        <f t="shared" si="23"/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</row>
    <row r="1536" spans="4:19" x14ac:dyDescent="0.3">
      <c r="D1536">
        <v>6058460</v>
      </c>
      <c r="F1536">
        <f t="shared" si="23"/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</row>
    <row r="1537" spans="4:19" x14ac:dyDescent="0.3">
      <c r="D1537">
        <v>6052860</v>
      </c>
      <c r="F1537">
        <f t="shared" si="23"/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</row>
    <row r="1538" spans="4:19" x14ac:dyDescent="0.3">
      <c r="D1538">
        <v>6052956</v>
      </c>
      <c r="F1538">
        <f t="shared" si="23"/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</row>
    <row r="1539" spans="4:19" x14ac:dyDescent="0.3">
      <c r="D1539">
        <v>6017454</v>
      </c>
      <c r="F1539">
        <f t="shared" ref="F1539:F1602" si="24">SUMIF(N1539:S1539,"&gt;=0")</f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</row>
    <row r="1540" spans="4:19" x14ac:dyDescent="0.3">
      <c r="D1540">
        <v>6050080</v>
      </c>
      <c r="F1540">
        <f t="shared" si="24"/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</row>
    <row r="1541" spans="4:19" x14ac:dyDescent="0.3">
      <c r="D1541">
        <v>6059277</v>
      </c>
      <c r="F1541">
        <f t="shared" si="24"/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</row>
    <row r="1542" spans="4:19" x14ac:dyDescent="0.3">
      <c r="D1542">
        <v>6059287</v>
      </c>
      <c r="F1542">
        <f t="shared" si="24"/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</row>
    <row r="1543" spans="4:19" x14ac:dyDescent="0.3">
      <c r="D1543">
        <v>6018496</v>
      </c>
      <c r="F1543">
        <f t="shared" si="24"/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</row>
    <row r="1544" spans="4:19" x14ac:dyDescent="0.3">
      <c r="D1544">
        <v>6059289</v>
      </c>
      <c r="F1544">
        <f t="shared" si="24"/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</row>
    <row r="1545" spans="4:19" x14ac:dyDescent="0.3">
      <c r="D1545">
        <v>6050104</v>
      </c>
      <c r="F1545">
        <f t="shared" si="24"/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</row>
    <row r="1546" spans="4:19" x14ac:dyDescent="0.3">
      <c r="D1546">
        <v>6012764</v>
      </c>
      <c r="F1546">
        <f t="shared" si="24"/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</row>
    <row r="1547" spans="4:19" x14ac:dyDescent="0.3">
      <c r="D1547">
        <v>6052257</v>
      </c>
      <c r="F1547">
        <f t="shared" si="24"/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</row>
    <row r="1548" spans="4:19" x14ac:dyDescent="0.3">
      <c r="D1548">
        <v>6052258</v>
      </c>
      <c r="F1548">
        <f t="shared" si="24"/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</row>
    <row r="1549" spans="4:19" x14ac:dyDescent="0.3">
      <c r="D1549">
        <v>6012771</v>
      </c>
      <c r="F1549">
        <f t="shared" si="24"/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</row>
    <row r="1550" spans="4:19" x14ac:dyDescent="0.3">
      <c r="D1550">
        <v>6012776</v>
      </c>
      <c r="F1550">
        <f t="shared" si="24"/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</row>
    <row r="1551" spans="4:19" x14ac:dyDescent="0.3">
      <c r="D1551">
        <v>6015115</v>
      </c>
      <c r="F1551">
        <f t="shared" si="24"/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</row>
    <row r="1552" spans="4:19" x14ac:dyDescent="0.3">
      <c r="D1552" t="s">
        <v>31</v>
      </c>
      <c r="F1552">
        <f t="shared" si="24"/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</row>
    <row r="1553" spans="4:19" x14ac:dyDescent="0.3">
      <c r="D1553">
        <v>6012898</v>
      </c>
      <c r="F1553">
        <f t="shared" si="24"/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</row>
    <row r="1554" spans="4:19" x14ac:dyDescent="0.3">
      <c r="D1554">
        <v>6011588</v>
      </c>
      <c r="F1554">
        <f t="shared" si="24"/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</row>
    <row r="1555" spans="4:19" x14ac:dyDescent="0.3">
      <c r="D1555">
        <v>6012899</v>
      </c>
      <c r="F1555">
        <f t="shared" si="24"/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</row>
    <row r="1556" spans="4:19" x14ac:dyDescent="0.3">
      <c r="D1556">
        <v>5300826</v>
      </c>
      <c r="F1556">
        <f t="shared" si="24"/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</row>
    <row r="1557" spans="4:19" x14ac:dyDescent="0.3">
      <c r="D1557">
        <v>5307060</v>
      </c>
      <c r="F1557">
        <f t="shared" si="24"/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</row>
    <row r="1558" spans="4:19" x14ac:dyDescent="0.3">
      <c r="D1558">
        <v>5300824</v>
      </c>
      <c r="F1558">
        <f t="shared" si="24"/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</row>
    <row r="1559" spans="4:19" x14ac:dyDescent="0.3">
      <c r="D1559">
        <v>5300416</v>
      </c>
      <c r="F1559">
        <f t="shared" si="24"/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</row>
    <row r="1560" spans="4:19" x14ac:dyDescent="0.3">
      <c r="D1560">
        <v>5322330</v>
      </c>
      <c r="F1560">
        <f t="shared" si="24"/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</row>
    <row r="1561" spans="4:19" x14ac:dyDescent="0.3">
      <c r="D1561">
        <v>5322355</v>
      </c>
      <c r="F1561">
        <f t="shared" si="24"/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</row>
    <row r="1562" spans="4:19" x14ac:dyDescent="0.3">
      <c r="D1562">
        <v>5320037</v>
      </c>
      <c r="F1562">
        <f t="shared" si="24"/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</row>
    <row r="1563" spans="4:19" x14ac:dyDescent="0.3">
      <c r="D1563">
        <v>5320034</v>
      </c>
      <c r="F1563">
        <f t="shared" si="24"/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</row>
    <row r="1564" spans="4:19" x14ac:dyDescent="0.3">
      <c r="D1564" t="s">
        <v>1</v>
      </c>
      <c r="F1564">
        <f t="shared" si="24"/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</row>
    <row r="1565" spans="4:19" x14ac:dyDescent="0.3">
      <c r="D1565">
        <v>5300845</v>
      </c>
      <c r="F1565">
        <f t="shared" si="24"/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</row>
    <row r="1566" spans="4:19" x14ac:dyDescent="0.3">
      <c r="D1566">
        <v>5307055</v>
      </c>
      <c r="F1566">
        <f t="shared" si="24"/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</row>
    <row r="1567" spans="4:19" x14ac:dyDescent="0.3">
      <c r="D1567">
        <v>6253466</v>
      </c>
      <c r="F1567">
        <f t="shared" si="24"/>
        <v>8</v>
      </c>
      <c r="N1567">
        <v>8</v>
      </c>
      <c r="O1567">
        <v>0</v>
      </c>
      <c r="P1567">
        <v>0</v>
      </c>
      <c r="Q1567">
        <v>0</v>
      </c>
      <c r="R1567">
        <v>0</v>
      </c>
      <c r="S1567">
        <v>0</v>
      </c>
    </row>
    <row r="1568" spans="4:19" x14ac:dyDescent="0.3">
      <c r="D1568">
        <v>5307094</v>
      </c>
      <c r="F1568">
        <f t="shared" si="24"/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spans="4:19" x14ac:dyDescent="0.3">
      <c r="D1569">
        <v>6258649</v>
      </c>
      <c r="F1569">
        <f t="shared" si="24"/>
        <v>4</v>
      </c>
      <c r="N1569">
        <v>4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spans="4:19" x14ac:dyDescent="0.3">
      <c r="D1570" t="s">
        <v>11</v>
      </c>
      <c r="F1570">
        <f t="shared" si="24"/>
        <v>2</v>
      </c>
      <c r="N1570">
        <v>2</v>
      </c>
      <c r="O1570">
        <v>0</v>
      </c>
      <c r="P1570">
        <v>0</v>
      </c>
      <c r="Q1570">
        <v>0</v>
      </c>
      <c r="R1570">
        <v>0</v>
      </c>
      <c r="S1570">
        <v>0</v>
      </c>
    </row>
    <row r="1571" spans="4:19" x14ac:dyDescent="0.3">
      <c r="D1571">
        <v>5307087</v>
      </c>
      <c r="F1571">
        <f t="shared" si="24"/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</row>
    <row r="1572" spans="4:19" x14ac:dyDescent="0.3">
      <c r="D1572">
        <v>5307152</v>
      </c>
      <c r="F1572">
        <f t="shared" si="24"/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</row>
    <row r="1573" spans="4:19" x14ac:dyDescent="0.3">
      <c r="D1573">
        <v>5307959</v>
      </c>
      <c r="F1573">
        <f t="shared" si="24"/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spans="4:19" x14ac:dyDescent="0.3">
      <c r="D1574">
        <v>5307082</v>
      </c>
      <c r="F1574">
        <f t="shared" si="24"/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</row>
    <row r="1575" spans="4:19" x14ac:dyDescent="0.3">
      <c r="D1575">
        <v>5307110</v>
      </c>
      <c r="F1575">
        <f t="shared" si="24"/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spans="4:19" x14ac:dyDescent="0.3">
      <c r="D1576">
        <v>5307972</v>
      </c>
      <c r="F1576">
        <f t="shared" si="24"/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</row>
    <row r="1577" spans="4:19" x14ac:dyDescent="0.3">
      <c r="D1577">
        <v>5309159</v>
      </c>
      <c r="F1577">
        <f t="shared" si="24"/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</row>
    <row r="1578" spans="4:19" x14ac:dyDescent="0.3">
      <c r="D1578" t="s">
        <v>4</v>
      </c>
      <c r="F1578">
        <f t="shared" si="24"/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spans="4:19" x14ac:dyDescent="0.3">
      <c r="D1579" t="s">
        <v>5</v>
      </c>
      <c r="F1579">
        <f t="shared" si="24"/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spans="4:19" x14ac:dyDescent="0.3">
      <c r="D1580" t="s">
        <v>6</v>
      </c>
      <c r="F1580">
        <f t="shared" si="24"/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</row>
    <row r="1581" spans="4:19" x14ac:dyDescent="0.3">
      <c r="D1581" t="s">
        <v>173</v>
      </c>
      <c r="F1581">
        <f t="shared" si="24"/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spans="4:19" x14ac:dyDescent="0.3">
      <c r="D1582">
        <v>6013127</v>
      </c>
      <c r="F1582">
        <f t="shared" si="24"/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</row>
    <row r="1583" spans="4:19" x14ac:dyDescent="0.3">
      <c r="D1583">
        <v>6013278</v>
      </c>
      <c r="F1583">
        <f t="shared" si="24"/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</row>
    <row r="1584" spans="4:19" x14ac:dyDescent="0.3">
      <c r="D1584">
        <v>6252379</v>
      </c>
      <c r="F1584">
        <f t="shared" si="24"/>
        <v>2</v>
      </c>
      <c r="N1584">
        <v>2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spans="4:19" x14ac:dyDescent="0.3">
      <c r="D1585" t="s">
        <v>183</v>
      </c>
      <c r="F1585">
        <f t="shared" si="24"/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</row>
    <row r="1586" spans="4:19" x14ac:dyDescent="0.3">
      <c r="D1586" t="s">
        <v>174</v>
      </c>
      <c r="F1586">
        <f t="shared" si="24"/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</row>
    <row r="1587" spans="4:19" x14ac:dyDescent="0.3">
      <c r="D1587">
        <v>6056762</v>
      </c>
      <c r="F1587">
        <f t="shared" si="24"/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</row>
    <row r="1588" spans="4:19" x14ac:dyDescent="0.3">
      <c r="D1588">
        <v>5404073</v>
      </c>
      <c r="F1588">
        <f t="shared" si="24"/>
        <v>22</v>
      </c>
      <c r="N1588">
        <v>22</v>
      </c>
      <c r="O1588">
        <v>0</v>
      </c>
      <c r="P1588">
        <v>0</v>
      </c>
      <c r="Q1588">
        <v>0</v>
      </c>
      <c r="R1588">
        <v>0</v>
      </c>
      <c r="S1588">
        <v>0</v>
      </c>
    </row>
    <row r="1589" spans="4:19" x14ac:dyDescent="0.3">
      <c r="D1589">
        <v>5404077</v>
      </c>
      <c r="F1589">
        <f t="shared" si="24"/>
        <v>29</v>
      </c>
      <c r="N1589">
        <v>29</v>
      </c>
      <c r="O1589">
        <v>0</v>
      </c>
      <c r="P1589">
        <v>0</v>
      </c>
      <c r="Q1589">
        <v>0</v>
      </c>
      <c r="R1589">
        <v>0</v>
      </c>
      <c r="S1589">
        <v>0</v>
      </c>
    </row>
    <row r="1590" spans="4:19" x14ac:dyDescent="0.3">
      <c r="D1590">
        <v>5382321</v>
      </c>
      <c r="F1590">
        <f t="shared" si="24"/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spans="4:19" x14ac:dyDescent="0.3">
      <c r="D1591">
        <v>5382862</v>
      </c>
      <c r="F1591">
        <f t="shared" si="24"/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</row>
    <row r="1592" spans="4:19" x14ac:dyDescent="0.3">
      <c r="D1592">
        <v>5380580</v>
      </c>
      <c r="F1592">
        <f t="shared" si="24"/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</row>
    <row r="1593" spans="4:19" x14ac:dyDescent="0.3">
      <c r="D1593">
        <v>5381816000</v>
      </c>
      <c r="F1593">
        <f t="shared" si="24"/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</row>
    <row r="1594" spans="4:19" x14ac:dyDescent="0.3">
      <c r="D1594">
        <v>5382209</v>
      </c>
      <c r="F1594">
        <f t="shared" si="24"/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spans="4:19" x14ac:dyDescent="0.3">
      <c r="D1595">
        <v>5380581</v>
      </c>
      <c r="F1595">
        <f t="shared" si="24"/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spans="4:19" x14ac:dyDescent="0.3">
      <c r="D1596">
        <v>5381816600</v>
      </c>
      <c r="F1596">
        <f t="shared" si="24"/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spans="4:19" x14ac:dyDescent="0.3">
      <c r="D1597">
        <v>5380584</v>
      </c>
      <c r="F1597">
        <f t="shared" si="24"/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spans="4:19" x14ac:dyDescent="0.3">
      <c r="D1598">
        <v>5380586</v>
      </c>
      <c r="F1598">
        <f t="shared" si="24"/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spans="4:19" x14ac:dyDescent="0.3">
      <c r="D1599">
        <v>5380609</v>
      </c>
      <c r="F1599">
        <f t="shared" si="24"/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spans="4:19" x14ac:dyDescent="0.3">
      <c r="D1600">
        <v>5380187</v>
      </c>
      <c r="F1600">
        <f t="shared" si="24"/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spans="4:19" x14ac:dyDescent="0.3">
      <c r="D1601" t="s">
        <v>33</v>
      </c>
      <c r="F1601">
        <f t="shared" si="24"/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spans="4:19" x14ac:dyDescent="0.3">
      <c r="D1602" t="s">
        <v>12</v>
      </c>
      <c r="F1602">
        <f t="shared" si="24"/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spans="4:19" x14ac:dyDescent="0.3">
      <c r="D1603">
        <v>6019197</v>
      </c>
      <c r="F1603">
        <f t="shared" ref="F1603:F1634" si="25">SUMIF(N1603:S1603,"&gt;=0")</f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</row>
    <row r="1604" spans="4:19" x14ac:dyDescent="0.3">
      <c r="D1604">
        <v>5305915</v>
      </c>
      <c r="F1604">
        <f t="shared" si="25"/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</row>
    <row r="1605" spans="4:19" x14ac:dyDescent="0.3">
      <c r="D1605" t="s">
        <v>18</v>
      </c>
      <c r="F1605">
        <f t="shared" si="25"/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spans="4:19" x14ac:dyDescent="0.3">
      <c r="D1606" t="s">
        <v>175</v>
      </c>
      <c r="F1606">
        <f t="shared" si="25"/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spans="4:19" x14ac:dyDescent="0.3">
      <c r="D1607" t="s">
        <v>17</v>
      </c>
      <c r="F1607">
        <f t="shared" si="25"/>
        <v>9</v>
      </c>
      <c r="N1607">
        <v>9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spans="4:19" x14ac:dyDescent="0.3">
      <c r="D1608" t="s">
        <v>171</v>
      </c>
      <c r="F1608">
        <f t="shared" si="25"/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spans="4:19" x14ac:dyDescent="0.3">
      <c r="D1609">
        <v>5300610</v>
      </c>
      <c r="F1609">
        <f t="shared" si="25"/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spans="4:19" x14ac:dyDescent="0.3">
      <c r="D1610">
        <v>5810860</v>
      </c>
      <c r="F1610">
        <f t="shared" si="25"/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spans="4:19" x14ac:dyDescent="0.3">
      <c r="D1611">
        <v>5306848</v>
      </c>
      <c r="F1611">
        <f t="shared" si="25"/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spans="4:19" x14ac:dyDescent="0.3">
      <c r="D1612">
        <v>5306849</v>
      </c>
      <c r="F1612">
        <f t="shared" si="25"/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</row>
    <row r="1613" spans="4:19" x14ac:dyDescent="0.3">
      <c r="D1613" t="s">
        <v>176</v>
      </c>
      <c r="F1613">
        <f t="shared" si="25"/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spans="4:19" x14ac:dyDescent="0.3">
      <c r="D1614">
        <v>5308092</v>
      </c>
      <c r="F1614">
        <f t="shared" si="25"/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spans="4:19" x14ac:dyDescent="0.3">
      <c r="D1615">
        <v>5309737</v>
      </c>
      <c r="F1615">
        <f t="shared" si="25"/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spans="4:19" x14ac:dyDescent="0.3">
      <c r="D1616" t="s">
        <v>168</v>
      </c>
      <c r="F1616">
        <f t="shared" si="25"/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spans="4:19" x14ac:dyDescent="0.3">
      <c r="D1617">
        <v>5307523</v>
      </c>
      <c r="F1617">
        <f t="shared" si="25"/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spans="4:19" x14ac:dyDescent="0.3">
      <c r="D1618">
        <v>5813142</v>
      </c>
      <c r="F1618">
        <f t="shared" si="25"/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spans="4:19" x14ac:dyDescent="0.3">
      <c r="D1619">
        <v>2692101</v>
      </c>
      <c r="F1619">
        <f t="shared" si="25"/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spans="4:19" x14ac:dyDescent="0.3">
      <c r="D1620">
        <v>2690043</v>
      </c>
      <c r="F1620">
        <f t="shared" si="25"/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spans="4:19" x14ac:dyDescent="0.3">
      <c r="D1621">
        <v>2690070</v>
      </c>
      <c r="F1621">
        <f t="shared" si="25"/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spans="4:19" x14ac:dyDescent="0.3">
      <c r="D1622">
        <v>2690063</v>
      </c>
      <c r="F1622">
        <f t="shared" si="25"/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spans="4:19" x14ac:dyDescent="0.3">
      <c r="D1623">
        <v>2692403</v>
      </c>
      <c r="F1623">
        <f t="shared" si="25"/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spans="4:19" x14ac:dyDescent="0.3">
      <c r="D1624">
        <v>2695009</v>
      </c>
      <c r="F1624">
        <f t="shared" si="25"/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spans="4:19" x14ac:dyDescent="0.3">
      <c r="D1625">
        <v>2692772</v>
      </c>
      <c r="F1625">
        <f t="shared" si="25"/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</row>
    <row r="1626" spans="4:19" x14ac:dyDescent="0.3">
      <c r="D1626">
        <v>2695010</v>
      </c>
      <c r="F1626">
        <f t="shared" si="25"/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spans="4:19" x14ac:dyDescent="0.3">
      <c r="D1627">
        <v>2692776</v>
      </c>
      <c r="F1627">
        <f t="shared" si="25"/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spans="4:19" x14ac:dyDescent="0.3">
      <c r="D1628">
        <v>2692000</v>
      </c>
      <c r="F1628">
        <f t="shared" si="25"/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spans="4:19" x14ac:dyDescent="0.3">
      <c r="D1629">
        <v>2692461</v>
      </c>
      <c r="F1629">
        <f t="shared" si="25"/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spans="4:19" x14ac:dyDescent="0.3">
      <c r="D1630">
        <v>2692401</v>
      </c>
      <c r="F1630">
        <f t="shared" si="25"/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spans="4:19" x14ac:dyDescent="0.3">
      <c r="D1631">
        <v>2692400</v>
      </c>
      <c r="F1631">
        <f t="shared" si="25"/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spans="4:19" x14ac:dyDescent="0.3">
      <c r="D1632">
        <v>2692768</v>
      </c>
      <c r="F1632">
        <f t="shared" si="25"/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spans="4:19" x14ac:dyDescent="0.3">
      <c r="D1633">
        <v>2692773</v>
      </c>
      <c r="F1633">
        <f t="shared" si="25"/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spans="4:19" x14ac:dyDescent="0.3">
      <c r="D1634">
        <v>6044994</v>
      </c>
      <c r="F1634">
        <f t="shared" si="25"/>
        <v>15</v>
      </c>
      <c r="N1634">
        <v>15</v>
      </c>
      <c r="O1634">
        <v>0</v>
      </c>
      <c r="P1634">
        <v>0</v>
      </c>
      <c r="Q1634">
        <v>0</v>
      </c>
      <c r="R1634">
        <v>0</v>
      </c>
      <c r="S1634">
        <v>0</v>
      </c>
    </row>
  </sheetData>
  <conditionalFormatting sqref="D2:D1634">
    <cfRule type="duplicateValues" dxfId="14" priority="1"/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94A62-ACC0-41DE-98F5-719666905AC9}">
  <sheetPr codeName="Sheet5"/>
  <dimension ref="A1:L33"/>
  <sheetViews>
    <sheetView zoomScale="110" zoomScaleNormal="110" workbookViewId="0">
      <selection activeCell="N10" sqref="N10"/>
    </sheetView>
  </sheetViews>
  <sheetFormatPr baseColWidth="10" defaultColWidth="9.23046875" defaultRowHeight="13.5" x14ac:dyDescent="0.3"/>
  <cols>
    <col min="1" max="1" width="3.4609375" style="38" bestFit="1" customWidth="1"/>
    <col min="2" max="2" width="18.84375" customWidth="1"/>
    <col min="3" max="3" width="9.4609375" customWidth="1"/>
    <col min="6" max="6" width="15.4609375" style="37" customWidth="1"/>
    <col min="7" max="7" width="16.3828125" bestFit="1" customWidth="1"/>
    <col min="9" max="9" width="13.61328125" hidden="1" customWidth="1"/>
    <col min="10" max="10" width="15" hidden="1" customWidth="1"/>
    <col min="11" max="11" width="17.3828125" hidden="1" customWidth="1"/>
    <col min="12" max="12" width="0" hidden="1" customWidth="1"/>
  </cols>
  <sheetData>
    <row r="1" spans="1:12" x14ac:dyDescent="0.3">
      <c r="B1" s="47" t="s">
        <v>243</v>
      </c>
      <c r="C1" s="85" t="s">
        <v>265</v>
      </c>
      <c r="D1" s="85"/>
      <c r="E1" s="85"/>
      <c r="G1" s="58" t="s">
        <v>271</v>
      </c>
    </row>
    <row r="2" spans="1:12" ht="14.5" x14ac:dyDescent="0.3">
      <c r="B2" s="46" t="s">
        <v>244</v>
      </c>
      <c r="C2" s="84" t="s">
        <v>264</v>
      </c>
      <c r="D2" s="84"/>
      <c r="E2" s="84"/>
      <c r="G2" s="59" t="s">
        <v>267</v>
      </c>
    </row>
    <row r="3" spans="1:12" ht="14.5" x14ac:dyDescent="0.3">
      <c r="B3" s="45" t="s">
        <v>249</v>
      </c>
      <c r="C3" s="83" t="s">
        <v>263</v>
      </c>
      <c r="D3" s="83"/>
      <c r="E3" s="83"/>
      <c r="G3" s="59" t="s">
        <v>268</v>
      </c>
    </row>
    <row r="4" spans="1:12" ht="14.5" x14ac:dyDescent="0.3">
      <c r="G4" s="59" t="s">
        <v>270</v>
      </c>
    </row>
    <row r="5" spans="1:12" ht="15" thickBot="1" x14ac:dyDescent="0.35">
      <c r="G5" s="60" t="s">
        <v>269</v>
      </c>
    </row>
    <row r="6" spans="1:12" x14ac:dyDescent="0.3">
      <c r="J6" t="s">
        <v>303</v>
      </c>
      <c r="K6" t="s">
        <v>305</v>
      </c>
    </row>
    <row r="7" spans="1:12" ht="14" thickBot="1" x14ac:dyDescent="0.35">
      <c r="J7" t="s">
        <v>302</v>
      </c>
      <c r="K7" t="s">
        <v>304</v>
      </c>
    </row>
    <row r="8" spans="1:12" x14ac:dyDescent="0.3">
      <c r="B8" s="43"/>
      <c r="C8" s="41" t="s">
        <v>243</v>
      </c>
      <c r="D8" s="42" t="s">
        <v>244</v>
      </c>
      <c r="E8" s="44" t="s">
        <v>249</v>
      </c>
      <c r="I8" t="s">
        <v>298</v>
      </c>
      <c r="J8" t="s">
        <v>299</v>
      </c>
      <c r="K8" t="s">
        <v>300</v>
      </c>
      <c r="L8" t="s">
        <v>301</v>
      </c>
    </row>
    <row r="9" spans="1:12" x14ac:dyDescent="0.3">
      <c r="A9" s="38" t="s">
        <v>262</v>
      </c>
      <c r="B9" s="40" t="s">
        <v>241</v>
      </c>
      <c r="C9" s="81">
        <v>1</v>
      </c>
      <c r="D9" s="81"/>
      <c r="E9" s="82"/>
      <c r="J9" s="20"/>
    </row>
    <row r="10" spans="1:12" ht="14" thickBot="1" x14ac:dyDescent="0.35">
      <c r="A10" s="38" t="s">
        <v>261</v>
      </c>
      <c r="B10" s="39" t="s">
        <v>239</v>
      </c>
      <c r="C10" s="81">
        <v>3</v>
      </c>
      <c r="D10" s="81"/>
      <c r="E10" s="82"/>
    </row>
    <row r="11" spans="1:12" x14ac:dyDescent="0.3">
      <c r="B11" s="43"/>
      <c r="C11" s="51" t="s">
        <v>243</v>
      </c>
      <c r="D11" s="53" t="s">
        <v>249</v>
      </c>
      <c r="E11" s="54" t="s">
        <v>244</v>
      </c>
    </row>
    <row r="12" spans="1:12" x14ac:dyDescent="0.3">
      <c r="A12" s="38" t="s">
        <v>260</v>
      </c>
      <c r="B12" s="40" t="s">
        <v>290</v>
      </c>
      <c r="C12" s="81">
        <v>1</v>
      </c>
      <c r="D12" s="81"/>
      <c r="E12" s="82"/>
    </row>
    <row r="13" spans="1:12" ht="14" thickBot="1" x14ac:dyDescent="0.35">
      <c r="A13" s="38" t="s">
        <v>259</v>
      </c>
      <c r="B13" s="39" t="s">
        <v>239</v>
      </c>
      <c r="C13" s="81">
        <v>2</v>
      </c>
      <c r="D13" s="81"/>
      <c r="E13" s="82"/>
    </row>
    <row r="14" spans="1:12" x14ac:dyDescent="0.3">
      <c r="B14" s="43"/>
      <c r="C14" s="52" t="s">
        <v>244</v>
      </c>
      <c r="D14" s="51" t="s">
        <v>243</v>
      </c>
      <c r="E14" s="55" t="s">
        <v>249</v>
      </c>
    </row>
    <row r="15" spans="1:12" x14ac:dyDescent="0.3">
      <c r="A15" s="38" t="s">
        <v>258</v>
      </c>
      <c r="B15" s="40" t="s">
        <v>241</v>
      </c>
      <c r="C15" s="81">
        <v>2</v>
      </c>
      <c r="D15" s="81"/>
      <c r="E15" s="82"/>
    </row>
    <row r="16" spans="1:12" ht="14" thickBot="1" x14ac:dyDescent="0.35">
      <c r="A16" s="38" t="s">
        <v>257</v>
      </c>
      <c r="B16" s="39" t="s">
        <v>239</v>
      </c>
      <c r="C16" s="81">
        <v>3</v>
      </c>
      <c r="D16" s="81"/>
      <c r="E16" s="82"/>
    </row>
    <row r="17" spans="1:6" x14ac:dyDescent="0.3">
      <c r="B17" s="43"/>
      <c r="C17" s="52" t="s">
        <v>244</v>
      </c>
      <c r="D17" s="53" t="s">
        <v>249</v>
      </c>
      <c r="E17" s="56" t="s">
        <v>243</v>
      </c>
    </row>
    <row r="18" spans="1:6" x14ac:dyDescent="0.3">
      <c r="A18" s="38" t="s">
        <v>256</v>
      </c>
      <c r="B18" s="40" t="s">
        <v>241</v>
      </c>
      <c r="C18" s="81">
        <v>2</v>
      </c>
      <c r="D18" s="81"/>
      <c r="E18" s="82"/>
      <c r="F18" s="37" t="s">
        <v>255</v>
      </c>
    </row>
    <row r="19" spans="1:6" ht="14" thickBot="1" x14ac:dyDescent="0.35">
      <c r="A19" s="38" t="s">
        <v>254</v>
      </c>
      <c r="B19" s="39" t="s">
        <v>239</v>
      </c>
      <c r="C19" s="81">
        <v>3</v>
      </c>
      <c r="D19" s="81"/>
      <c r="E19" s="82"/>
    </row>
    <row r="20" spans="1:6" x14ac:dyDescent="0.3">
      <c r="B20" s="43"/>
      <c r="C20" s="53" t="s">
        <v>249</v>
      </c>
      <c r="D20" s="51" t="s">
        <v>243</v>
      </c>
      <c r="E20" s="54" t="s">
        <v>244</v>
      </c>
    </row>
    <row r="21" spans="1:6" x14ac:dyDescent="0.3">
      <c r="A21" s="38" t="s">
        <v>253</v>
      </c>
      <c r="B21" s="40" t="s">
        <v>241</v>
      </c>
      <c r="C21" s="81">
        <v>1</v>
      </c>
      <c r="D21" s="81"/>
      <c r="E21" s="82"/>
      <c r="F21" s="37" t="s">
        <v>252</v>
      </c>
    </row>
    <row r="22" spans="1:6" ht="14" thickBot="1" x14ac:dyDescent="0.35">
      <c r="A22" s="38" t="s">
        <v>251</v>
      </c>
      <c r="B22" s="39" t="s">
        <v>239</v>
      </c>
      <c r="C22" s="81">
        <v>3</v>
      </c>
      <c r="D22" s="81"/>
      <c r="E22" s="82"/>
      <c r="F22" s="37" t="s">
        <v>250</v>
      </c>
    </row>
    <row r="23" spans="1:6" x14ac:dyDescent="0.3">
      <c r="B23" s="43"/>
      <c r="C23" s="53" t="s">
        <v>249</v>
      </c>
      <c r="D23" s="52" t="s">
        <v>244</v>
      </c>
      <c r="E23" s="56" t="s">
        <v>243</v>
      </c>
    </row>
    <row r="24" spans="1:6" x14ac:dyDescent="0.3">
      <c r="A24" s="38" t="s">
        <v>248</v>
      </c>
      <c r="B24" s="40" t="s">
        <v>241</v>
      </c>
      <c r="C24" s="88">
        <v>1</v>
      </c>
      <c r="D24" s="88"/>
      <c r="E24" s="89"/>
    </row>
    <row r="25" spans="1:6" ht="14" thickBot="1" x14ac:dyDescent="0.35">
      <c r="A25" s="38" t="s">
        <v>247</v>
      </c>
      <c r="B25" s="39" t="s">
        <v>239</v>
      </c>
      <c r="C25" s="88">
        <v>3</v>
      </c>
      <c r="D25" s="88"/>
      <c r="E25" s="89"/>
    </row>
    <row r="26" spans="1:6" x14ac:dyDescent="0.3">
      <c r="B26" s="43"/>
      <c r="C26" s="51" t="s">
        <v>243</v>
      </c>
      <c r="D26" s="52" t="s">
        <v>244</v>
      </c>
      <c r="E26" s="57" t="s">
        <v>272</v>
      </c>
    </row>
    <row r="27" spans="1:6" x14ac:dyDescent="0.3">
      <c r="A27" s="38" t="s">
        <v>246</v>
      </c>
      <c r="B27" s="40" t="s">
        <v>241</v>
      </c>
      <c r="C27" s="81">
        <v>2</v>
      </c>
      <c r="D27" s="81"/>
      <c r="E27" s="82"/>
    </row>
    <row r="28" spans="1:6" ht="14" thickBot="1" x14ac:dyDescent="0.35">
      <c r="A28" s="38" t="s">
        <v>245</v>
      </c>
      <c r="B28" s="39" t="s">
        <v>239</v>
      </c>
      <c r="C28" s="81">
        <v>3</v>
      </c>
      <c r="D28" s="81"/>
      <c r="E28" s="82"/>
    </row>
    <row r="29" spans="1:6" x14ac:dyDescent="0.3">
      <c r="B29" s="43"/>
      <c r="C29" s="52" t="s">
        <v>244</v>
      </c>
      <c r="D29" s="51" t="s">
        <v>243</v>
      </c>
      <c r="E29" s="57" t="s">
        <v>272</v>
      </c>
    </row>
    <row r="30" spans="1:6" x14ac:dyDescent="0.3">
      <c r="A30" s="38" t="s">
        <v>242</v>
      </c>
      <c r="B30" s="40" t="s">
        <v>241</v>
      </c>
      <c r="C30" s="81">
        <v>2</v>
      </c>
      <c r="D30" s="81"/>
      <c r="E30" s="82"/>
    </row>
    <row r="31" spans="1:6" ht="14" thickBot="1" x14ac:dyDescent="0.35">
      <c r="A31" s="38" t="s">
        <v>240</v>
      </c>
      <c r="B31" s="39" t="s">
        <v>239</v>
      </c>
      <c r="C31" s="86">
        <v>3</v>
      </c>
      <c r="D31" s="86"/>
      <c r="E31" s="87"/>
    </row>
    <row r="33" spans="2:2" x14ac:dyDescent="0.3">
      <c r="B33" s="50" t="s">
        <v>266</v>
      </c>
    </row>
  </sheetData>
  <mergeCells count="19">
    <mergeCell ref="C31:E31"/>
    <mergeCell ref="C9:E9"/>
    <mergeCell ref="C10:E10"/>
    <mergeCell ref="C12:E12"/>
    <mergeCell ref="C13:E13"/>
    <mergeCell ref="C28:E28"/>
    <mergeCell ref="C18:E18"/>
    <mergeCell ref="C16:E16"/>
    <mergeCell ref="C15:E15"/>
    <mergeCell ref="C27:E27"/>
    <mergeCell ref="C25:E25"/>
    <mergeCell ref="C24:E24"/>
    <mergeCell ref="C22:E22"/>
    <mergeCell ref="C21:E21"/>
    <mergeCell ref="C19:E19"/>
    <mergeCell ref="C3:E3"/>
    <mergeCell ref="C2:E2"/>
    <mergeCell ref="C1:E1"/>
    <mergeCell ref="C30:E30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8B75-029E-40B3-963B-6B851F04A0EC}">
  <sheetPr codeName="Sheet6"/>
  <dimension ref="A1:K158"/>
  <sheetViews>
    <sheetView workbookViewId="0">
      <selection activeCell="K19" sqref="K19"/>
    </sheetView>
  </sheetViews>
  <sheetFormatPr baseColWidth="10" defaultColWidth="9.23046875" defaultRowHeight="13.5" x14ac:dyDescent="0.3"/>
  <cols>
    <col min="1" max="1" width="9.765625" bestFit="1" customWidth="1"/>
    <col min="2" max="2" width="17.3828125" bestFit="1" customWidth="1"/>
    <col min="3" max="3" width="9.4609375" bestFit="1" customWidth="1"/>
    <col min="4" max="5" width="17.23046875" bestFit="1" customWidth="1"/>
    <col min="6" max="6" width="13.4609375" bestFit="1" customWidth="1"/>
    <col min="7" max="7" width="33.84375" bestFit="1" customWidth="1"/>
    <col min="9" max="9" width="26.3828125" bestFit="1" customWidth="1"/>
    <col min="10" max="10" width="10.23046875" bestFit="1" customWidth="1"/>
    <col min="11" max="11" width="68.23046875" bestFit="1" customWidth="1"/>
  </cols>
  <sheetData>
    <row r="1" spans="1:11" ht="14.5" thickTop="1" thickBot="1" x14ac:dyDescent="0.35">
      <c r="B1" s="90" t="s">
        <v>216</v>
      </c>
      <c r="C1" s="90"/>
      <c r="D1" s="90"/>
      <c r="E1" s="90"/>
      <c r="F1" s="90"/>
      <c r="G1" s="90"/>
      <c r="K1" s="69" t="s">
        <v>217</v>
      </c>
    </row>
    <row r="2" spans="1:11" ht="14.5" thickTop="1" thickBot="1" x14ac:dyDescent="0.35">
      <c r="A2" s="26"/>
      <c r="B2" s="27" t="s">
        <v>222</v>
      </c>
      <c r="C2" s="27" t="s">
        <v>186</v>
      </c>
      <c r="D2" s="27" t="s">
        <v>226</v>
      </c>
      <c r="E2" s="27" t="s">
        <v>227</v>
      </c>
      <c r="F2" s="27" t="s">
        <v>217</v>
      </c>
      <c r="G2" s="27" t="s">
        <v>233</v>
      </c>
      <c r="I2" s="20"/>
      <c r="K2" s="70" t="s">
        <v>307</v>
      </c>
    </row>
    <row r="3" spans="1:11" ht="14" thickTop="1" x14ac:dyDescent="0.3">
      <c r="B3" s="30" t="s">
        <v>96</v>
      </c>
      <c r="C3" s="31" t="s">
        <v>187</v>
      </c>
      <c r="D3" s="31" t="s">
        <v>237</v>
      </c>
      <c r="E3" s="31"/>
      <c r="F3" s="31" t="s">
        <v>188</v>
      </c>
      <c r="G3" s="32">
        <v>45197</v>
      </c>
      <c r="I3" t="s">
        <v>159</v>
      </c>
      <c r="K3" s="70" t="s">
        <v>311</v>
      </c>
    </row>
    <row r="4" spans="1:11" ht="14" thickBot="1" x14ac:dyDescent="0.35">
      <c r="B4" s="30"/>
      <c r="C4" s="31" t="s">
        <v>187</v>
      </c>
      <c r="D4" s="31" t="s">
        <v>235</v>
      </c>
      <c r="E4" s="31"/>
      <c r="F4" s="31" t="s">
        <v>188</v>
      </c>
      <c r="G4" s="32">
        <v>45197</v>
      </c>
      <c r="J4" s="20"/>
      <c r="K4" s="71" t="s">
        <v>306</v>
      </c>
    </row>
    <row r="5" spans="1:11" x14ac:dyDescent="0.3">
      <c r="B5" s="30"/>
      <c r="C5" s="31" t="s">
        <v>187</v>
      </c>
      <c r="D5" s="31" t="s">
        <v>236</v>
      </c>
      <c r="E5" s="31"/>
      <c r="F5" s="31" t="s">
        <v>188</v>
      </c>
      <c r="G5" s="32">
        <v>45197</v>
      </c>
      <c r="I5" s="20"/>
      <c r="J5" s="20"/>
    </row>
    <row r="6" spans="1:11" x14ac:dyDescent="0.3">
      <c r="B6" s="30"/>
      <c r="C6" s="31" t="s">
        <v>189</v>
      </c>
      <c r="D6" s="31" t="s">
        <v>234</v>
      </c>
      <c r="E6" s="31"/>
      <c r="F6" s="31" t="s">
        <v>188</v>
      </c>
      <c r="G6" s="32">
        <v>45197</v>
      </c>
    </row>
    <row r="7" spans="1:11" x14ac:dyDescent="0.3">
      <c r="B7" s="30"/>
      <c r="C7" s="31" t="s">
        <v>189</v>
      </c>
      <c r="D7" s="31" t="s">
        <v>237</v>
      </c>
      <c r="E7" s="31"/>
      <c r="F7" s="31" t="s">
        <v>188</v>
      </c>
      <c r="G7" s="32">
        <v>45197</v>
      </c>
    </row>
    <row r="8" spans="1:11" x14ac:dyDescent="0.3">
      <c r="B8" s="30"/>
      <c r="C8" s="31" t="s">
        <v>189</v>
      </c>
      <c r="D8" s="31" t="s">
        <v>235</v>
      </c>
      <c r="E8" s="31"/>
      <c r="F8" s="31" t="s">
        <v>188</v>
      </c>
      <c r="G8" s="32">
        <v>45197</v>
      </c>
    </row>
    <row r="9" spans="1:11" x14ac:dyDescent="0.3">
      <c r="B9" s="30"/>
      <c r="C9" s="31" t="s">
        <v>189</v>
      </c>
      <c r="D9" s="31" t="s">
        <v>236</v>
      </c>
      <c r="E9" s="31"/>
      <c r="F9" s="31" t="s">
        <v>188</v>
      </c>
      <c r="G9" s="32">
        <v>45197</v>
      </c>
    </row>
    <row r="10" spans="1:11" x14ac:dyDescent="0.3">
      <c r="B10" s="30" t="s">
        <v>98</v>
      </c>
      <c r="C10" s="31" t="s">
        <v>187</v>
      </c>
      <c r="D10" s="31" t="s">
        <v>237</v>
      </c>
      <c r="E10" s="31"/>
      <c r="F10" s="31" t="s">
        <v>188</v>
      </c>
      <c r="G10" s="32">
        <v>45197</v>
      </c>
    </row>
    <row r="11" spans="1:11" x14ac:dyDescent="0.3">
      <c r="B11" s="30"/>
      <c r="C11" s="31" t="s">
        <v>187</v>
      </c>
      <c r="D11" s="31" t="s">
        <v>235</v>
      </c>
      <c r="E11" s="31"/>
      <c r="F11" s="31" t="s">
        <v>188</v>
      </c>
      <c r="G11" s="32">
        <v>45197</v>
      </c>
    </row>
    <row r="12" spans="1:11" x14ac:dyDescent="0.3">
      <c r="B12" s="30"/>
      <c r="C12" s="31" t="s">
        <v>187</v>
      </c>
      <c r="D12" s="31" t="s">
        <v>236</v>
      </c>
      <c r="E12" s="31"/>
      <c r="F12" s="31" t="s">
        <v>188</v>
      </c>
      <c r="G12" s="32">
        <v>45197</v>
      </c>
    </row>
    <row r="13" spans="1:11" x14ac:dyDescent="0.3">
      <c r="B13" s="30"/>
      <c r="C13" s="31" t="s">
        <v>189</v>
      </c>
      <c r="D13" s="31" t="s">
        <v>234</v>
      </c>
      <c r="E13" s="31"/>
      <c r="F13" s="31" t="s">
        <v>188</v>
      </c>
      <c r="G13" s="31"/>
    </row>
    <row r="14" spans="1:11" x14ac:dyDescent="0.3">
      <c r="B14" s="30"/>
      <c r="C14" s="31" t="s">
        <v>189</v>
      </c>
      <c r="D14" s="31" t="s">
        <v>237</v>
      </c>
      <c r="E14" s="31"/>
      <c r="F14" s="31" t="s">
        <v>188</v>
      </c>
      <c r="G14" s="31"/>
    </row>
    <row r="15" spans="1:11" x14ac:dyDescent="0.3">
      <c r="B15" s="30"/>
      <c r="C15" s="31" t="s">
        <v>189</v>
      </c>
      <c r="D15" s="31" t="s">
        <v>235</v>
      </c>
      <c r="E15" s="31"/>
      <c r="F15" s="31" t="s">
        <v>188</v>
      </c>
      <c r="G15" s="31"/>
    </row>
    <row r="16" spans="1:11" x14ac:dyDescent="0.3">
      <c r="B16" s="30"/>
      <c r="C16" s="31" t="s">
        <v>189</v>
      </c>
      <c r="D16" s="31" t="s">
        <v>236</v>
      </c>
      <c r="E16" s="31"/>
      <c r="F16" s="31" t="s">
        <v>188</v>
      </c>
      <c r="G16" s="31"/>
    </row>
    <row r="17" spans="2:7" x14ac:dyDescent="0.3">
      <c r="B17" s="30" t="s">
        <v>104</v>
      </c>
      <c r="C17" s="31" t="s">
        <v>187</v>
      </c>
      <c r="D17" s="31" t="s">
        <v>237</v>
      </c>
      <c r="E17" s="31"/>
      <c r="F17" s="31" t="s">
        <v>188</v>
      </c>
      <c r="G17" s="32">
        <v>45197</v>
      </c>
    </row>
    <row r="18" spans="2:7" x14ac:dyDescent="0.3">
      <c r="B18" s="30"/>
      <c r="C18" s="31" t="s">
        <v>187</v>
      </c>
      <c r="D18" s="31" t="s">
        <v>235</v>
      </c>
      <c r="E18" s="31"/>
      <c r="F18" s="31" t="s">
        <v>188</v>
      </c>
      <c r="G18" s="32">
        <v>45197</v>
      </c>
    </row>
    <row r="19" spans="2:7" x14ac:dyDescent="0.3">
      <c r="B19" s="30"/>
      <c r="C19" s="31" t="s">
        <v>187</v>
      </c>
      <c r="D19" s="31" t="s">
        <v>236</v>
      </c>
      <c r="E19" s="31"/>
      <c r="F19" s="31" t="s">
        <v>188</v>
      </c>
      <c r="G19" s="32">
        <v>45197</v>
      </c>
    </row>
    <row r="20" spans="2:7" x14ac:dyDescent="0.3">
      <c r="B20" s="30"/>
      <c r="C20" s="31" t="s">
        <v>189</v>
      </c>
      <c r="D20" s="31" t="s">
        <v>234</v>
      </c>
      <c r="E20" s="31"/>
      <c r="F20" s="31" t="s">
        <v>188</v>
      </c>
      <c r="G20" s="31"/>
    </row>
    <row r="21" spans="2:7" x14ac:dyDescent="0.3">
      <c r="B21" s="30"/>
      <c r="C21" s="31" t="s">
        <v>189</v>
      </c>
      <c r="D21" s="31" t="s">
        <v>237</v>
      </c>
      <c r="E21" s="31"/>
      <c r="F21" s="31" t="s">
        <v>188</v>
      </c>
      <c r="G21" s="31"/>
    </row>
    <row r="22" spans="2:7" x14ac:dyDescent="0.3">
      <c r="B22" s="30"/>
      <c r="C22" s="31" t="s">
        <v>189</v>
      </c>
      <c r="D22" s="31" t="s">
        <v>235</v>
      </c>
      <c r="E22" s="31"/>
      <c r="F22" s="31" t="s">
        <v>188</v>
      </c>
      <c r="G22" s="31"/>
    </row>
    <row r="23" spans="2:7" x14ac:dyDescent="0.3">
      <c r="B23" s="30"/>
      <c r="C23" s="31" t="s">
        <v>189</v>
      </c>
      <c r="D23" s="31" t="s">
        <v>236</v>
      </c>
      <c r="E23" s="31"/>
      <c r="F23" s="31" t="s">
        <v>188</v>
      </c>
      <c r="G23" s="31"/>
    </row>
    <row r="24" spans="2:7" x14ac:dyDescent="0.3">
      <c r="B24" s="30" t="s">
        <v>82</v>
      </c>
      <c r="C24" s="31" t="s">
        <v>187</v>
      </c>
      <c r="D24" s="31" t="s">
        <v>237</v>
      </c>
      <c r="E24" s="31"/>
      <c r="F24" s="31" t="s">
        <v>188</v>
      </c>
      <c r="G24" s="32">
        <v>45197</v>
      </c>
    </row>
    <row r="25" spans="2:7" x14ac:dyDescent="0.3">
      <c r="B25" s="30"/>
      <c r="C25" s="31" t="s">
        <v>187</v>
      </c>
      <c r="D25" s="31" t="s">
        <v>235</v>
      </c>
      <c r="E25" s="31"/>
      <c r="F25" s="31" t="s">
        <v>188</v>
      </c>
      <c r="G25" s="32">
        <v>45197</v>
      </c>
    </row>
    <row r="26" spans="2:7" x14ac:dyDescent="0.3">
      <c r="B26" s="30"/>
      <c r="C26" s="31" t="s">
        <v>187</v>
      </c>
      <c r="D26" s="31" t="s">
        <v>236</v>
      </c>
      <c r="E26" s="31"/>
      <c r="F26" s="31" t="s">
        <v>188</v>
      </c>
      <c r="G26" s="32">
        <v>45197</v>
      </c>
    </row>
    <row r="27" spans="2:7" x14ac:dyDescent="0.3">
      <c r="B27" s="30"/>
      <c r="C27" s="31" t="s">
        <v>189</v>
      </c>
      <c r="D27" s="31" t="s">
        <v>234</v>
      </c>
      <c r="E27" s="31"/>
      <c r="F27" s="31" t="s">
        <v>188</v>
      </c>
      <c r="G27" s="32">
        <v>45197</v>
      </c>
    </row>
    <row r="28" spans="2:7" x14ac:dyDescent="0.3">
      <c r="B28" s="30"/>
      <c r="C28" s="31" t="s">
        <v>189</v>
      </c>
      <c r="D28" s="31" t="s">
        <v>237</v>
      </c>
      <c r="E28" s="31"/>
      <c r="F28" s="31" t="s">
        <v>188</v>
      </c>
      <c r="G28" s="32">
        <v>45197</v>
      </c>
    </row>
    <row r="29" spans="2:7" x14ac:dyDescent="0.3">
      <c r="B29" s="30"/>
      <c r="C29" s="31" t="s">
        <v>189</v>
      </c>
      <c r="D29" s="31" t="s">
        <v>235</v>
      </c>
      <c r="E29" s="31"/>
      <c r="F29" s="31" t="s">
        <v>188</v>
      </c>
      <c r="G29" s="32">
        <v>45197</v>
      </c>
    </row>
    <row r="30" spans="2:7" x14ac:dyDescent="0.3">
      <c r="B30" s="30"/>
      <c r="C30" s="31" t="s">
        <v>189</v>
      </c>
      <c r="D30" s="31" t="s">
        <v>236</v>
      </c>
      <c r="E30" s="31"/>
      <c r="F30" s="31" t="s">
        <v>188</v>
      </c>
      <c r="G30" s="32">
        <v>45197</v>
      </c>
    </row>
    <row r="31" spans="2:7" x14ac:dyDescent="0.3">
      <c r="B31" s="30" t="s">
        <v>83</v>
      </c>
      <c r="C31" s="31" t="s">
        <v>187</v>
      </c>
      <c r="D31" s="31" t="s">
        <v>237</v>
      </c>
      <c r="E31" s="31"/>
      <c r="F31" s="31" t="s">
        <v>185</v>
      </c>
      <c r="G31" s="31"/>
    </row>
    <row r="32" spans="2:7" x14ac:dyDescent="0.3">
      <c r="B32" s="30"/>
      <c r="C32" s="31" t="s">
        <v>187</v>
      </c>
      <c r="D32" s="31" t="s">
        <v>235</v>
      </c>
      <c r="E32" s="31"/>
      <c r="F32" s="31" t="s">
        <v>185</v>
      </c>
      <c r="G32" s="31"/>
    </row>
    <row r="33" spans="2:7" x14ac:dyDescent="0.3">
      <c r="B33" s="30"/>
      <c r="C33" s="31" t="s">
        <v>187</v>
      </c>
      <c r="D33" s="31" t="s">
        <v>236</v>
      </c>
      <c r="E33" s="31"/>
      <c r="F33" s="31" t="s">
        <v>185</v>
      </c>
      <c r="G33" s="31"/>
    </row>
    <row r="34" spans="2:7" x14ac:dyDescent="0.3">
      <c r="B34" s="30"/>
      <c r="C34" s="31" t="s">
        <v>189</v>
      </c>
      <c r="D34" s="31" t="s">
        <v>234</v>
      </c>
      <c r="E34" s="31"/>
      <c r="F34" s="31" t="s">
        <v>185</v>
      </c>
      <c r="G34" s="32">
        <v>45203</v>
      </c>
    </row>
    <row r="35" spans="2:7" x14ac:dyDescent="0.3">
      <c r="B35" s="30"/>
      <c r="C35" s="31" t="s">
        <v>189</v>
      </c>
      <c r="D35" s="31" t="s">
        <v>237</v>
      </c>
      <c r="E35" s="31"/>
      <c r="F35" s="31" t="s">
        <v>185</v>
      </c>
      <c r="G35" s="32">
        <v>45203</v>
      </c>
    </row>
    <row r="36" spans="2:7" x14ac:dyDescent="0.3">
      <c r="B36" s="30"/>
      <c r="C36" s="31" t="s">
        <v>189</v>
      </c>
      <c r="D36" s="31" t="s">
        <v>235</v>
      </c>
      <c r="E36" s="31"/>
      <c r="F36" s="31" t="s">
        <v>185</v>
      </c>
      <c r="G36" s="32">
        <v>45203</v>
      </c>
    </row>
    <row r="37" spans="2:7" x14ac:dyDescent="0.3">
      <c r="B37" s="30"/>
      <c r="C37" s="31" t="s">
        <v>189</v>
      </c>
      <c r="D37" s="31" t="s">
        <v>236</v>
      </c>
      <c r="E37" s="31"/>
      <c r="F37" s="31" t="s">
        <v>185</v>
      </c>
      <c r="G37" s="32">
        <v>45203</v>
      </c>
    </row>
    <row r="38" spans="2:7" x14ac:dyDescent="0.3">
      <c r="B38" s="30" t="s">
        <v>81</v>
      </c>
      <c r="C38" s="31" t="s">
        <v>187</v>
      </c>
      <c r="D38" s="31" t="s">
        <v>237</v>
      </c>
      <c r="E38" s="31"/>
      <c r="F38" s="31" t="s">
        <v>230</v>
      </c>
      <c r="G38" s="32">
        <v>45196</v>
      </c>
    </row>
    <row r="39" spans="2:7" x14ac:dyDescent="0.3">
      <c r="B39" s="30"/>
      <c r="C39" s="31" t="s">
        <v>187</v>
      </c>
      <c r="D39" s="31" t="s">
        <v>235</v>
      </c>
      <c r="E39" s="31"/>
      <c r="F39" s="31" t="s">
        <v>230</v>
      </c>
      <c r="G39" s="32">
        <v>45196</v>
      </c>
    </row>
    <row r="40" spans="2:7" x14ac:dyDescent="0.3">
      <c r="B40" s="30"/>
      <c r="C40" s="31" t="s">
        <v>187</v>
      </c>
      <c r="D40" s="31" t="s">
        <v>236</v>
      </c>
      <c r="E40" s="31"/>
      <c r="F40" s="31" t="s">
        <v>230</v>
      </c>
      <c r="G40" s="32">
        <v>45196</v>
      </c>
    </row>
    <row r="41" spans="2:7" x14ac:dyDescent="0.3">
      <c r="B41" s="30"/>
      <c r="C41" s="31" t="s">
        <v>189</v>
      </c>
      <c r="D41" s="31" t="s">
        <v>234</v>
      </c>
      <c r="E41" s="31"/>
      <c r="F41" s="31" t="s">
        <v>230</v>
      </c>
      <c r="G41" s="32">
        <v>45196</v>
      </c>
    </row>
    <row r="42" spans="2:7" x14ac:dyDescent="0.3">
      <c r="B42" s="30"/>
      <c r="C42" s="31" t="s">
        <v>189</v>
      </c>
      <c r="D42" s="31" t="s">
        <v>237</v>
      </c>
      <c r="E42" s="31"/>
      <c r="F42" s="31" t="s">
        <v>230</v>
      </c>
      <c r="G42" s="32">
        <v>45196</v>
      </c>
    </row>
    <row r="43" spans="2:7" x14ac:dyDescent="0.3">
      <c r="B43" s="30"/>
      <c r="C43" s="31" t="s">
        <v>189</v>
      </c>
      <c r="D43" s="31" t="s">
        <v>235</v>
      </c>
      <c r="E43" s="31"/>
      <c r="F43" s="31" t="s">
        <v>230</v>
      </c>
      <c r="G43" s="32">
        <v>45196</v>
      </c>
    </row>
    <row r="44" spans="2:7" x14ac:dyDescent="0.3">
      <c r="B44" s="30"/>
      <c r="C44" s="31" t="s">
        <v>189</v>
      </c>
      <c r="D44" s="31" t="s">
        <v>236</v>
      </c>
      <c r="E44" s="31"/>
      <c r="F44" s="31" t="s">
        <v>230</v>
      </c>
      <c r="G44" s="32">
        <v>45196</v>
      </c>
    </row>
    <row r="45" spans="2:7" x14ac:dyDescent="0.3">
      <c r="B45" s="30" t="s">
        <v>122</v>
      </c>
      <c r="C45" s="31" t="s">
        <v>187</v>
      </c>
      <c r="D45" s="31" t="s">
        <v>237</v>
      </c>
      <c r="E45" s="31"/>
      <c r="F45" s="31"/>
      <c r="G45" s="31"/>
    </row>
    <row r="46" spans="2:7" x14ac:dyDescent="0.3">
      <c r="B46" s="30"/>
      <c r="C46" s="31" t="s">
        <v>187</v>
      </c>
      <c r="D46" s="31" t="s">
        <v>235</v>
      </c>
      <c r="E46" s="31"/>
      <c r="F46" s="31"/>
      <c r="G46" s="31"/>
    </row>
    <row r="47" spans="2:7" x14ac:dyDescent="0.3">
      <c r="B47" s="30"/>
      <c r="C47" s="31" t="s">
        <v>187</v>
      </c>
      <c r="D47" s="31" t="s">
        <v>236</v>
      </c>
      <c r="E47" s="31"/>
      <c r="F47" s="31"/>
      <c r="G47" s="31"/>
    </row>
    <row r="48" spans="2:7" x14ac:dyDescent="0.3">
      <c r="B48" s="30"/>
      <c r="C48" s="31" t="s">
        <v>189</v>
      </c>
      <c r="D48" s="31" t="s">
        <v>234</v>
      </c>
      <c r="E48" s="31"/>
      <c r="F48" s="31"/>
      <c r="G48" s="31"/>
    </row>
    <row r="49" spans="2:7" x14ac:dyDescent="0.3">
      <c r="B49" s="30"/>
      <c r="C49" s="31" t="s">
        <v>189</v>
      </c>
      <c r="D49" s="31" t="s">
        <v>237</v>
      </c>
      <c r="E49" s="31"/>
      <c r="F49" s="31"/>
      <c r="G49" s="31"/>
    </row>
    <row r="50" spans="2:7" x14ac:dyDescent="0.3">
      <c r="B50" s="30"/>
      <c r="C50" s="31" t="s">
        <v>189</v>
      </c>
      <c r="D50" s="31" t="s">
        <v>235</v>
      </c>
      <c r="E50" s="31"/>
      <c r="F50" s="31"/>
      <c r="G50" s="31"/>
    </row>
    <row r="51" spans="2:7" x14ac:dyDescent="0.3">
      <c r="B51" s="30"/>
      <c r="C51" s="31" t="s">
        <v>189</v>
      </c>
      <c r="D51" s="31" t="s">
        <v>236</v>
      </c>
      <c r="E51" s="31"/>
      <c r="F51" s="31"/>
      <c r="G51" s="31"/>
    </row>
    <row r="52" spans="2:7" x14ac:dyDescent="0.3">
      <c r="B52" s="30" t="s">
        <v>124</v>
      </c>
      <c r="C52" s="31" t="s">
        <v>187</v>
      </c>
      <c r="D52" s="31" t="s">
        <v>237</v>
      </c>
      <c r="E52" s="31"/>
      <c r="F52" s="31"/>
      <c r="G52" s="31"/>
    </row>
    <row r="53" spans="2:7" x14ac:dyDescent="0.3">
      <c r="B53" s="30"/>
      <c r="C53" s="31" t="s">
        <v>187</v>
      </c>
      <c r="D53" s="31" t="s">
        <v>235</v>
      </c>
      <c r="E53" s="31"/>
      <c r="F53" s="31"/>
      <c r="G53" s="31"/>
    </row>
    <row r="54" spans="2:7" x14ac:dyDescent="0.3">
      <c r="B54" s="30"/>
      <c r="C54" s="31" t="s">
        <v>187</v>
      </c>
      <c r="D54" s="31" t="s">
        <v>236</v>
      </c>
      <c r="E54" s="31"/>
      <c r="F54" s="31"/>
      <c r="G54" s="31"/>
    </row>
    <row r="55" spans="2:7" x14ac:dyDescent="0.3">
      <c r="B55" s="30"/>
      <c r="C55" s="31" t="s">
        <v>189</v>
      </c>
      <c r="D55" s="31" t="s">
        <v>234</v>
      </c>
      <c r="E55" s="31"/>
      <c r="F55" s="31"/>
      <c r="G55" s="31"/>
    </row>
    <row r="56" spans="2:7" x14ac:dyDescent="0.3">
      <c r="B56" s="30"/>
      <c r="C56" s="31" t="s">
        <v>189</v>
      </c>
      <c r="D56" s="31" t="s">
        <v>237</v>
      </c>
      <c r="E56" s="31"/>
      <c r="F56" s="31"/>
      <c r="G56" s="31"/>
    </row>
    <row r="57" spans="2:7" x14ac:dyDescent="0.3">
      <c r="B57" s="30"/>
      <c r="C57" s="31" t="s">
        <v>189</v>
      </c>
      <c r="D57" s="31" t="s">
        <v>235</v>
      </c>
      <c r="E57" s="31"/>
      <c r="F57" s="31"/>
      <c r="G57" s="31"/>
    </row>
    <row r="58" spans="2:7" x14ac:dyDescent="0.3">
      <c r="B58" s="30"/>
      <c r="C58" s="31" t="s">
        <v>189</v>
      </c>
      <c r="D58" s="31" t="s">
        <v>236</v>
      </c>
      <c r="E58" s="31"/>
      <c r="F58" s="31"/>
      <c r="G58" s="31"/>
    </row>
    <row r="59" spans="2:7" x14ac:dyDescent="0.3">
      <c r="B59" s="30" t="s">
        <v>190</v>
      </c>
      <c r="C59" s="31" t="s">
        <v>189</v>
      </c>
      <c r="D59" s="31" t="s">
        <v>191</v>
      </c>
      <c r="E59" s="31"/>
      <c r="F59" s="31"/>
      <c r="G59" s="31"/>
    </row>
    <row r="60" spans="2:7" x14ac:dyDescent="0.3">
      <c r="B60" s="30"/>
      <c r="C60" s="31" t="s">
        <v>189</v>
      </c>
      <c r="D60" s="31" t="s">
        <v>192</v>
      </c>
      <c r="E60" s="31" t="s">
        <v>193</v>
      </c>
      <c r="F60" s="31"/>
      <c r="G60" s="31"/>
    </row>
    <row r="61" spans="2:7" x14ac:dyDescent="0.3">
      <c r="B61" s="30"/>
      <c r="C61" s="31" t="s">
        <v>189</v>
      </c>
      <c r="D61" s="31" t="s">
        <v>194</v>
      </c>
      <c r="E61" s="31" t="s">
        <v>195</v>
      </c>
      <c r="F61" s="31"/>
      <c r="G61" s="31"/>
    </row>
    <row r="62" spans="2:7" x14ac:dyDescent="0.3">
      <c r="B62" s="30"/>
      <c r="C62" s="31" t="s">
        <v>189</v>
      </c>
      <c r="D62" s="31" t="s">
        <v>196</v>
      </c>
      <c r="E62" s="31"/>
      <c r="F62" s="31"/>
      <c r="G62" s="31"/>
    </row>
    <row r="63" spans="2:7" x14ac:dyDescent="0.3">
      <c r="B63" s="30"/>
      <c r="C63" s="31" t="s">
        <v>189</v>
      </c>
      <c r="D63" s="31" t="s">
        <v>197</v>
      </c>
      <c r="E63" s="31"/>
      <c r="F63" s="31"/>
      <c r="G63" s="31"/>
    </row>
    <row r="64" spans="2:7" x14ac:dyDescent="0.3">
      <c r="B64" s="30"/>
      <c r="C64" s="31" t="s">
        <v>189</v>
      </c>
      <c r="D64" s="31" t="s">
        <v>198</v>
      </c>
      <c r="E64" s="31" t="s">
        <v>199</v>
      </c>
      <c r="F64" s="31"/>
      <c r="G64" s="31"/>
    </row>
    <row r="65" spans="2:7" x14ac:dyDescent="0.3">
      <c r="B65" s="30"/>
      <c r="C65" s="31" t="s">
        <v>189</v>
      </c>
      <c r="D65" s="31" t="s">
        <v>200</v>
      </c>
      <c r="E65" s="31"/>
      <c r="F65" s="31"/>
      <c r="G65" s="31"/>
    </row>
    <row r="66" spans="2:7" x14ac:dyDescent="0.3">
      <c r="B66" s="30"/>
      <c r="C66" s="31" t="s">
        <v>189</v>
      </c>
      <c r="D66" s="31" t="s">
        <v>201</v>
      </c>
      <c r="E66" s="31" t="s">
        <v>202</v>
      </c>
      <c r="F66" s="31"/>
      <c r="G66" s="31"/>
    </row>
    <row r="67" spans="2:7" x14ac:dyDescent="0.3">
      <c r="B67" s="30"/>
      <c r="C67" s="31" t="s">
        <v>189</v>
      </c>
      <c r="D67" s="31" t="s">
        <v>203</v>
      </c>
      <c r="E67" s="31"/>
      <c r="F67" s="31"/>
      <c r="G67" s="31"/>
    </row>
    <row r="68" spans="2:7" x14ac:dyDescent="0.3">
      <c r="B68" s="30"/>
      <c r="C68" s="31" t="s">
        <v>189</v>
      </c>
      <c r="D68" s="31" t="s">
        <v>204</v>
      </c>
      <c r="E68" s="31" t="s">
        <v>205</v>
      </c>
      <c r="F68" s="31"/>
      <c r="G68" s="31"/>
    </row>
    <row r="69" spans="2:7" x14ac:dyDescent="0.3">
      <c r="B69" s="30"/>
      <c r="C69" s="31" t="s">
        <v>189</v>
      </c>
      <c r="D69" s="31" t="s">
        <v>206</v>
      </c>
      <c r="E69" s="31" t="s">
        <v>207</v>
      </c>
      <c r="F69" s="31"/>
      <c r="G69" s="31"/>
    </row>
    <row r="70" spans="2:7" x14ac:dyDescent="0.3">
      <c r="B70" s="30"/>
      <c r="C70" s="31" t="s">
        <v>189</v>
      </c>
      <c r="D70" s="31" t="s">
        <v>208</v>
      </c>
      <c r="E70" s="31" t="s">
        <v>209</v>
      </c>
      <c r="F70" s="31"/>
      <c r="G70" s="31"/>
    </row>
    <row r="71" spans="2:7" x14ac:dyDescent="0.3">
      <c r="B71" s="30"/>
      <c r="C71" s="31" t="s">
        <v>189</v>
      </c>
      <c r="D71" s="31" t="s">
        <v>210</v>
      </c>
      <c r="E71" s="31" t="s">
        <v>211</v>
      </c>
      <c r="F71" s="31"/>
      <c r="G71" s="31"/>
    </row>
    <row r="72" spans="2:7" x14ac:dyDescent="0.3">
      <c r="B72" s="30"/>
      <c r="C72" s="31" t="s">
        <v>189</v>
      </c>
      <c r="D72" s="31" t="s">
        <v>212</v>
      </c>
      <c r="E72" s="31" t="s">
        <v>213</v>
      </c>
      <c r="F72" s="31"/>
      <c r="G72" s="31"/>
    </row>
    <row r="73" spans="2:7" x14ac:dyDescent="0.3">
      <c r="B73" s="30" t="s">
        <v>92</v>
      </c>
      <c r="C73" s="31" t="s">
        <v>189</v>
      </c>
      <c r="D73" s="31" t="s">
        <v>191</v>
      </c>
      <c r="E73" s="31"/>
      <c r="F73" s="31"/>
      <c r="G73" s="31"/>
    </row>
    <row r="74" spans="2:7" x14ac:dyDescent="0.3">
      <c r="B74" s="30"/>
      <c r="C74" s="31" t="s">
        <v>189</v>
      </c>
      <c r="D74" s="31" t="s">
        <v>192</v>
      </c>
      <c r="E74" s="31" t="s">
        <v>193</v>
      </c>
      <c r="F74" s="31"/>
      <c r="G74" s="31"/>
    </row>
    <row r="75" spans="2:7" x14ac:dyDescent="0.3">
      <c r="B75" s="30"/>
      <c r="C75" s="31" t="s">
        <v>189</v>
      </c>
      <c r="D75" s="31" t="s">
        <v>194</v>
      </c>
      <c r="E75" s="31" t="s">
        <v>195</v>
      </c>
      <c r="F75" s="31"/>
      <c r="G75" s="31"/>
    </row>
    <row r="76" spans="2:7" x14ac:dyDescent="0.3">
      <c r="B76" s="30"/>
      <c r="C76" s="31" t="s">
        <v>189</v>
      </c>
      <c r="D76" s="31" t="s">
        <v>196</v>
      </c>
      <c r="E76" s="31"/>
      <c r="F76" s="31"/>
      <c r="G76" s="31"/>
    </row>
    <row r="77" spans="2:7" x14ac:dyDescent="0.3">
      <c r="B77" s="30"/>
      <c r="C77" s="31" t="s">
        <v>189</v>
      </c>
      <c r="D77" s="31" t="s">
        <v>197</v>
      </c>
      <c r="E77" s="31"/>
      <c r="F77" s="31"/>
      <c r="G77" s="31"/>
    </row>
    <row r="78" spans="2:7" x14ac:dyDescent="0.3">
      <c r="B78" s="30"/>
      <c r="C78" s="31" t="s">
        <v>189</v>
      </c>
      <c r="D78" s="31" t="s">
        <v>198</v>
      </c>
      <c r="E78" s="31" t="s">
        <v>199</v>
      </c>
      <c r="F78" s="31"/>
      <c r="G78" s="31"/>
    </row>
    <row r="79" spans="2:7" x14ac:dyDescent="0.3">
      <c r="B79" s="30"/>
      <c r="C79" s="31" t="s">
        <v>189</v>
      </c>
      <c r="D79" s="31" t="s">
        <v>200</v>
      </c>
      <c r="E79" s="31"/>
      <c r="F79" s="31"/>
      <c r="G79" s="31"/>
    </row>
    <row r="80" spans="2:7" x14ac:dyDescent="0.3">
      <c r="B80" s="30"/>
      <c r="C80" s="31" t="s">
        <v>189</v>
      </c>
      <c r="D80" s="31" t="s">
        <v>201</v>
      </c>
      <c r="E80" s="31" t="s">
        <v>202</v>
      </c>
      <c r="F80" s="31"/>
      <c r="G80" s="31"/>
    </row>
    <row r="81" spans="2:7" x14ac:dyDescent="0.3">
      <c r="B81" s="30"/>
      <c r="C81" s="31" t="s">
        <v>189</v>
      </c>
      <c r="D81" s="31" t="s">
        <v>203</v>
      </c>
      <c r="E81" s="31"/>
      <c r="F81" s="31"/>
      <c r="G81" s="31"/>
    </row>
    <row r="82" spans="2:7" x14ac:dyDescent="0.3">
      <c r="B82" s="30"/>
      <c r="C82" s="31" t="s">
        <v>189</v>
      </c>
      <c r="D82" s="31" t="s">
        <v>204</v>
      </c>
      <c r="E82" s="31" t="s">
        <v>205</v>
      </c>
      <c r="F82" s="31"/>
      <c r="G82" s="31"/>
    </row>
    <row r="83" spans="2:7" x14ac:dyDescent="0.3">
      <c r="B83" s="30"/>
      <c r="C83" s="31" t="s">
        <v>189</v>
      </c>
      <c r="D83" s="31" t="s">
        <v>206</v>
      </c>
      <c r="E83" s="31" t="s">
        <v>207</v>
      </c>
      <c r="F83" s="31"/>
      <c r="G83" s="31"/>
    </row>
    <row r="84" spans="2:7" x14ac:dyDescent="0.3">
      <c r="B84" s="30"/>
      <c r="C84" s="31" t="s">
        <v>189</v>
      </c>
      <c r="D84" s="31" t="s">
        <v>208</v>
      </c>
      <c r="E84" s="31" t="s">
        <v>209</v>
      </c>
      <c r="F84" s="31"/>
      <c r="G84" s="31"/>
    </row>
    <row r="85" spans="2:7" x14ac:dyDescent="0.3">
      <c r="B85" s="30"/>
      <c r="C85" s="31" t="s">
        <v>189</v>
      </c>
      <c r="D85" s="31" t="s">
        <v>210</v>
      </c>
      <c r="E85" s="31" t="s">
        <v>211</v>
      </c>
      <c r="F85" s="31"/>
      <c r="G85" s="31"/>
    </row>
    <row r="86" spans="2:7" x14ac:dyDescent="0.3">
      <c r="B86" s="30"/>
      <c r="C86" s="31" t="s">
        <v>189</v>
      </c>
      <c r="D86" s="31" t="s">
        <v>212</v>
      </c>
      <c r="E86" s="31" t="s">
        <v>213</v>
      </c>
      <c r="F86" s="31"/>
      <c r="G86" s="31"/>
    </row>
    <row r="87" spans="2:7" x14ac:dyDescent="0.3">
      <c r="B87" s="30" t="s">
        <v>108</v>
      </c>
      <c r="C87" s="31" t="s">
        <v>189</v>
      </c>
      <c r="D87" s="31" t="s">
        <v>191</v>
      </c>
      <c r="E87" s="31"/>
      <c r="F87" s="31"/>
      <c r="G87" s="31"/>
    </row>
    <row r="88" spans="2:7" x14ac:dyDescent="0.3">
      <c r="B88" s="30"/>
      <c r="C88" s="31" t="s">
        <v>189</v>
      </c>
      <c r="D88" s="31" t="s">
        <v>192</v>
      </c>
      <c r="E88" s="31" t="s">
        <v>193</v>
      </c>
      <c r="F88" s="31"/>
      <c r="G88" s="31"/>
    </row>
    <row r="89" spans="2:7" x14ac:dyDescent="0.3">
      <c r="B89" s="30"/>
      <c r="C89" s="31" t="s">
        <v>189</v>
      </c>
      <c r="D89" s="31" t="s">
        <v>194</v>
      </c>
      <c r="E89" s="31" t="s">
        <v>195</v>
      </c>
      <c r="F89" s="31"/>
      <c r="G89" s="31"/>
    </row>
    <row r="90" spans="2:7" x14ac:dyDescent="0.3">
      <c r="B90" s="30"/>
      <c r="C90" s="31" t="s">
        <v>189</v>
      </c>
      <c r="D90" s="31" t="s">
        <v>196</v>
      </c>
      <c r="E90" s="31"/>
      <c r="F90" s="31"/>
      <c r="G90" s="31"/>
    </row>
    <row r="91" spans="2:7" x14ac:dyDescent="0.3">
      <c r="B91" s="30"/>
      <c r="C91" s="31" t="s">
        <v>189</v>
      </c>
      <c r="D91" s="31" t="s">
        <v>197</v>
      </c>
      <c r="E91" s="31"/>
      <c r="F91" s="31"/>
      <c r="G91" s="31"/>
    </row>
    <row r="92" spans="2:7" x14ac:dyDescent="0.3">
      <c r="B92" s="30"/>
      <c r="C92" s="31" t="s">
        <v>189</v>
      </c>
      <c r="D92" s="31" t="s">
        <v>198</v>
      </c>
      <c r="E92" s="31" t="s">
        <v>199</v>
      </c>
      <c r="F92" s="31"/>
      <c r="G92" s="31"/>
    </row>
    <row r="93" spans="2:7" x14ac:dyDescent="0.3">
      <c r="B93" s="30"/>
      <c r="C93" s="31" t="s">
        <v>189</v>
      </c>
      <c r="D93" s="31" t="s">
        <v>200</v>
      </c>
      <c r="E93" s="31"/>
      <c r="F93" s="31"/>
      <c r="G93" s="31"/>
    </row>
    <row r="94" spans="2:7" x14ac:dyDescent="0.3">
      <c r="B94" s="30"/>
      <c r="C94" s="31" t="s">
        <v>189</v>
      </c>
      <c r="D94" s="31" t="s">
        <v>201</v>
      </c>
      <c r="E94" s="31" t="s">
        <v>202</v>
      </c>
      <c r="F94" s="31"/>
      <c r="G94" s="31"/>
    </row>
    <row r="95" spans="2:7" x14ac:dyDescent="0.3">
      <c r="B95" s="30"/>
      <c r="C95" s="31" t="s">
        <v>189</v>
      </c>
      <c r="D95" s="31" t="s">
        <v>203</v>
      </c>
      <c r="E95" s="31"/>
      <c r="F95" s="31"/>
      <c r="G95" s="31"/>
    </row>
    <row r="96" spans="2:7" x14ac:dyDescent="0.3">
      <c r="B96" s="30"/>
      <c r="C96" s="31" t="s">
        <v>189</v>
      </c>
      <c r="D96" s="31" t="s">
        <v>204</v>
      </c>
      <c r="E96" s="31" t="s">
        <v>205</v>
      </c>
      <c r="F96" s="31"/>
      <c r="G96" s="31"/>
    </row>
    <row r="97" spans="2:7" x14ac:dyDescent="0.3">
      <c r="B97" s="30"/>
      <c r="C97" s="31" t="s">
        <v>189</v>
      </c>
      <c r="D97" s="31" t="s">
        <v>206</v>
      </c>
      <c r="E97" s="31" t="s">
        <v>207</v>
      </c>
      <c r="F97" s="31"/>
      <c r="G97" s="31"/>
    </row>
    <row r="98" spans="2:7" x14ac:dyDescent="0.3">
      <c r="B98" s="30"/>
      <c r="C98" s="31" t="s">
        <v>189</v>
      </c>
      <c r="D98" s="31" t="s">
        <v>208</v>
      </c>
      <c r="E98" s="31" t="s">
        <v>209</v>
      </c>
      <c r="F98" s="31"/>
      <c r="G98" s="31"/>
    </row>
    <row r="99" spans="2:7" x14ac:dyDescent="0.3">
      <c r="B99" s="30"/>
      <c r="C99" s="31" t="s">
        <v>189</v>
      </c>
      <c r="D99" s="31" t="s">
        <v>210</v>
      </c>
      <c r="E99" s="31" t="s">
        <v>211</v>
      </c>
      <c r="F99" s="31"/>
      <c r="G99" s="31"/>
    </row>
    <row r="100" spans="2:7" x14ac:dyDescent="0.3">
      <c r="B100" s="30"/>
      <c r="C100" s="31" t="s">
        <v>189</v>
      </c>
      <c r="D100" s="31" t="s">
        <v>212</v>
      </c>
      <c r="E100" s="31" t="s">
        <v>213</v>
      </c>
      <c r="F100" s="31"/>
      <c r="G100" s="31"/>
    </row>
    <row r="101" spans="2:7" x14ac:dyDescent="0.3">
      <c r="B101" s="30" t="s">
        <v>110</v>
      </c>
      <c r="C101" s="31" t="s">
        <v>189</v>
      </c>
      <c r="D101" s="31" t="s">
        <v>191</v>
      </c>
      <c r="E101" s="31"/>
      <c r="F101" s="31"/>
      <c r="G101" s="31"/>
    </row>
    <row r="102" spans="2:7" x14ac:dyDescent="0.3">
      <c r="B102" s="30"/>
      <c r="C102" s="31" t="s">
        <v>189</v>
      </c>
      <c r="D102" s="31" t="s">
        <v>192</v>
      </c>
      <c r="E102" s="31" t="s">
        <v>193</v>
      </c>
      <c r="F102" s="31"/>
      <c r="G102" s="32"/>
    </row>
    <row r="103" spans="2:7" x14ac:dyDescent="0.3">
      <c r="B103" s="30"/>
      <c r="C103" s="31" t="s">
        <v>189</v>
      </c>
      <c r="D103" s="31" t="s">
        <v>194</v>
      </c>
      <c r="E103" s="31" t="s">
        <v>195</v>
      </c>
      <c r="F103" s="31"/>
      <c r="G103" s="31"/>
    </row>
    <row r="104" spans="2:7" x14ac:dyDescent="0.3">
      <c r="B104" s="30"/>
      <c r="C104" s="31" t="s">
        <v>189</v>
      </c>
      <c r="D104" s="31" t="s">
        <v>196</v>
      </c>
      <c r="E104" s="31"/>
      <c r="F104" s="31"/>
      <c r="G104" s="31"/>
    </row>
    <row r="105" spans="2:7" x14ac:dyDescent="0.3">
      <c r="B105" s="30"/>
      <c r="C105" s="31" t="s">
        <v>189</v>
      </c>
      <c r="D105" s="31" t="s">
        <v>197</v>
      </c>
      <c r="E105" s="31"/>
      <c r="F105" s="31"/>
      <c r="G105" s="31"/>
    </row>
    <row r="106" spans="2:7" x14ac:dyDescent="0.3">
      <c r="B106" s="30"/>
      <c r="C106" s="31" t="s">
        <v>189</v>
      </c>
      <c r="D106" s="31" t="s">
        <v>198</v>
      </c>
      <c r="E106" s="31" t="s">
        <v>199</v>
      </c>
      <c r="F106" s="31"/>
      <c r="G106" s="31"/>
    </row>
    <row r="107" spans="2:7" x14ac:dyDescent="0.3">
      <c r="B107" s="30"/>
      <c r="C107" s="31" t="s">
        <v>189</v>
      </c>
      <c r="D107" s="31" t="s">
        <v>200</v>
      </c>
      <c r="E107" s="31"/>
      <c r="F107" s="31"/>
      <c r="G107" s="31"/>
    </row>
    <row r="108" spans="2:7" x14ac:dyDescent="0.3">
      <c r="B108" s="30"/>
      <c r="C108" s="31" t="s">
        <v>189</v>
      </c>
      <c r="D108" s="31" t="s">
        <v>201</v>
      </c>
      <c r="E108" s="31" t="s">
        <v>202</v>
      </c>
      <c r="F108" s="31"/>
      <c r="G108" s="31"/>
    </row>
    <row r="109" spans="2:7" x14ac:dyDescent="0.3">
      <c r="B109" s="30"/>
      <c r="C109" s="31" t="s">
        <v>189</v>
      </c>
      <c r="D109" s="31" t="s">
        <v>203</v>
      </c>
      <c r="E109" s="31"/>
      <c r="F109" s="31"/>
      <c r="G109" s="31"/>
    </row>
    <row r="110" spans="2:7" x14ac:dyDescent="0.3">
      <c r="B110" s="30"/>
      <c r="C110" s="31" t="s">
        <v>189</v>
      </c>
      <c r="D110" s="31" t="s">
        <v>204</v>
      </c>
      <c r="E110" s="31" t="s">
        <v>205</v>
      </c>
      <c r="F110" s="31"/>
      <c r="G110" s="31"/>
    </row>
    <row r="111" spans="2:7" x14ac:dyDescent="0.3">
      <c r="B111" s="30"/>
      <c r="C111" s="31" t="s">
        <v>189</v>
      </c>
      <c r="D111" s="31" t="s">
        <v>206</v>
      </c>
      <c r="E111" s="31" t="s">
        <v>207</v>
      </c>
      <c r="F111" s="31"/>
      <c r="G111" s="31"/>
    </row>
    <row r="112" spans="2:7" x14ac:dyDescent="0.3">
      <c r="B112" s="30"/>
      <c r="C112" s="31" t="s">
        <v>189</v>
      </c>
      <c r="D112" s="31" t="s">
        <v>208</v>
      </c>
      <c r="E112" s="31" t="s">
        <v>209</v>
      </c>
      <c r="F112" s="31"/>
      <c r="G112" s="31"/>
    </row>
    <row r="113" spans="2:7" x14ac:dyDescent="0.3">
      <c r="B113" s="30"/>
      <c r="C113" s="31" t="s">
        <v>189</v>
      </c>
      <c r="D113" s="31" t="s">
        <v>210</v>
      </c>
      <c r="E113" s="31" t="s">
        <v>211</v>
      </c>
      <c r="F113" s="31"/>
      <c r="G113" s="31"/>
    </row>
    <row r="114" spans="2:7" x14ac:dyDescent="0.3">
      <c r="B114" s="30"/>
      <c r="C114" s="31" t="s">
        <v>189</v>
      </c>
      <c r="D114" s="31" t="s">
        <v>212</v>
      </c>
      <c r="E114" s="31" t="s">
        <v>213</v>
      </c>
      <c r="F114" s="31"/>
      <c r="G114" s="31"/>
    </row>
    <row r="115" spans="2:7" x14ac:dyDescent="0.3">
      <c r="B115" s="30" t="s">
        <v>126</v>
      </c>
      <c r="C115" s="31" t="s">
        <v>189</v>
      </c>
      <c r="D115" s="31" t="s">
        <v>191</v>
      </c>
      <c r="E115" s="31"/>
      <c r="F115" s="31"/>
      <c r="G115" s="31"/>
    </row>
    <row r="116" spans="2:7" x14ac:dyDescent="0.3">
      <c r="B116" s="30"/>
      <c r="C116" s="31" t="s">
        <v>189</v>
      </c>
      <c r="D116" s="31" t="s">
        <v>192</v>
      </c>
      <c r="E116" s="31" t="s">
        <v>193</v>
      </c>
      <c r="F116" s="31"/>
      <c r="G116" s="31"/>
    </row>
    <row r="117" spans="2:7" x14ac:dyDescent="0.3">
      <c r="B117" s="30"/>
      <c r="C117" s="31" t="s">
        <v>189</v>
      </c>
      <c r="D117" s="31" t="s">
        <v>194</v>
      </c>
      <c r="E117" s="31" t="s">
        <v>195</v>
      </c>
      <c r="F117" s="31"/>
      <c r="G117" s="31"/>
    </row>
    <row r="118" spans="2:7" x14ac:dyDescent="0.3">
      <c r="B118" s="30"/>
      <c r="C118" s="31" t="s">
        <v>189</v>
      </c>
      <c r="D118" s="31" t="s">
        <v>196</v>
      </c>
      <c r="E118" s="31"/>
      <c r="F118" s="31"/>
      <c r="G118" s="31"/>
    </row>
    <row r="119" spans="2:7" x14ac:dyDescent="0.3">
      <c r="B119" s="30"/>
      <c r="C119" s="31" t="s">
        <v>189</v>
      </c>
      <c r="D119" s="31" t="s">
        <v>197</v>
      </c>
      <c r="E119" s="31"/>
      <c r="F119" s="31"/>
      <c r="G119" s="31"/>
    </row>
    <row r="120" spans="2:7" x14ac:dyDescent="0.3">
      <c r="B120" s="30"/>
      <c r="C120" s="31" t="s">
        <v>189</v>
      </c>
      <c r="D120" s="31" t="s">
        <v>198</v>
      </c>
      <c r="E120" s="31" t="s">
        <v>199</v>
      </c>
      <c r="F120" s="31"/>
      <c r="G120" s="31"/>
    </row>
    <row r="121" spans="2:7" x14ac:dyDescent="0.3">
      <c r="B121" s="30"/>
      <c r="C121" s="31" t="s">
        <v>189</v>
      </c>
      <c r="D121" s="31" t="s">
        <v>200</v>
      </c>
      <c r="E121" s="31"/>
      <c r="F121" s="31"/>
      <c r="G121" s="31"/>
    </row>
    <row r="122" spans="2:7" x14ac:dyDescent="0.3">
      <c r="B122" s="30"/>
      <c r="C122" s="31" t="s">
        <v>189</v>
      </c>
      <c r="D122" s="31" t="s">
        <v>201</v>
      </c>
      <c r="E122" s="31" t="s">
        <v>202</v>
      </c>
      <c r="F122" s="31"/>
      <c r="G122" s="31"/>
    </row>
    <row r="123" spans="2:7" x14ac:dyDescent="0.3">
      <c r="B123" s="30"/>
      <c r="C123" s="31" t="s">
        <v>189</v>
      </c>
      <c r="D123" s="31" t="s">
        <v>203</v>
      </c>
      <c r="E123" s="31"/>
      <c r="F123" s="31"/>
      <c r="G123" s="31"/>
    </row>
    <row r="124" spans="2:7" x14ac:dyDescent="0.3">
      <c r="B124" s="30"/>
      <c r="C124" s="31" t="s">
        <v>189</v>
      </c>
      <c r="D124" s="31" t="s">
        <v>204</v>
      </c>
      <c r="E124" s="31" t="s">
        <v>205</v>
      </c>
      <c r="F124" s="31"/>
      <c r="G124" s="31"/>
    </row>
    <row r="125" spans="2:7" x14ac:dyDescent="0.3">
      <c r="B125" s="30"/>
      <c r="C125" s="31" t="s">
        <v>189</v>
      </c>
      <c r="D125" s="31" t="s">
        <v>206</v>
      </c>
      <c r="E125" s="31" t="s">
        <v>207</v>
      </c>
      <c r="F125" s="31"/>
      <c r="G125" s="31"/>
    </row>
    <row r="126" spans="2:7" x14ac:dyDescent="0.3">
      <c r="B126" s="30"/>
      <c r="C126" s="31" t="s">
        <v>189</v>
      </c>
      <c r="D126" s="31" t="s">
        <v>208</v>
      </c>
      <c r="E126" s="31" t="s">
        <v>209</v>
      </c>
      <c r="F126" s="31"/>
      <c r="G126" s="31"/>
    </row>
    <row r="127" spans="2:7" x14ac:dyDescent="0.3">
      <c r="B127" s="30"/>
      <c r="C127" s="31" t="s">
        <v>189</v>
      </c>
      <c r="D127" s="31" t="s">
        <v>210</v>
      </c>
      <c r="E127" s="31" t="s">
        <v>211</v>
      </c>
      <c r="F127" s="31"/>
      <c r="G127" s="31"/>
    </row>
    <row r="128" spans="2:7" x14ac:dyDescent="0.3">
      <c r="B128" s="30"/>
      <c r="C128" s="31" t="s">
        <v>189</v>
      </c>
      <c r="D128" s="31" t="s">
        <v>212</v>
      </c>
      <c r="E128" s="31" t="s">
        <v>213</v>
      </c>
      <c r="F128" s="31"/>
      <c r="G128" s="31"/>
    </row>
    <row r="129" spans="2:7" x14ac:dyDescent="0.3">
      <c r="B129" s="30" t="s">
        <v>128</v>
      </c>
      <c r="C129" s="31" t="s">
        <v>189</v>
      </c>
      <c r="D129" s="31" t="s">
        <v>191</v>
      </c>
      <c r="E129" s="31"/>
      <c r="F129" s="31"/>
      <c r="G129" s="32"/>
    </row>
    <row r="130" spans="2:7" x14ac:dyDescent="0.3">
      <c r="B130" s="30"/>
      <c r="C130" s="31" t="s">
        <v>189</v>
      </c>
      <c r="D130" s="31" t="s">
        <v>192</v>
      </c>
      <c r="E130" s="31" t="s">
        <v>193</v>
      </c>
      <c r="F130" s="31"/>
      <c r="G130" s="31"/>
    </row>
    <row r="131" spans="2:7" x14ac:dyDescent="0.3">
      <c r="B131" s="30"/>
      <c r="C131" s="31" t="s">
        <v>189</v>
      </c>
      <c r="D131" s="31" t="s">
        <v>194</v>
      </c>
      <c r="E131" s="31" t="s">
        <v>195</v>
      </c>
      <c r="F131" s="31"/>
      <c r="G131" s="31"/>
    </row>
    <row r="132" spans="2:7" x14ac:dyDescent="0.3">
      <c r="B132" s="30"/>
      <c r="C132" s="31" t="s">
        <v>189</v>
      </c>
      <c r="D132" s="31" t="s">
        <v>196</v>
      </c>
      <c r="E132" s="31"/>
      <c r="F132" s="31"/>
      <c r="G132" s="31"/>
    </row>
    <row r="133" spans="2:7" x14ac:dyDescent="0.3">
      <c r="B133" s="30"/>
      <c r="C133" s="31" t="s">
        <v>189</v>
      </c>
      <c r="D133" s="31" t="s">
        <v>197</v>
      </c>
      <c r="E133" s="31"/>
      <c r="F133" s="31"/>
      <c r="G133" s="31"/>
    </row>
    <row r="134" spans="2:7" x14ac:dyDescent="0.3">
      <c r="B134" s="30"/>
      <c r="C134" s="31" t="s">
        <v>189</v>
      </c>
      <c r="D134" s="31" t="s">
        <v>198</v>
      </c>
      <c r="E134" s="31" t="s">
        <v>199</v>
      </c>
      <c r="F134" s="31"/>
      <c r="G134" s="31"/>
    </row>
    <row r="135" spans="2:7" x14ac:dyDescent="0.3">
      <c r="B135" s="30"/>
      <c r="C135" s="31" t="s">
        <v>189</v>
      </c>
      <c r="D135" s="31" t="s">
        <v>200</v>
      </c>
      <c r="E135" s="31"/>
      <c r="F135" s="31"/>
      <c r="G135" s="31"/>
    </row>
    <row r="136" spans="2:7" x14ac:dyDescent="0.3">
      <c r="B136" s="30"/>
      <c r="C136" s="31" t="s">
        <v>189</v>
      </c>
      <c r="D136" s="31" t="s">
        <v>201</v>
      </c>
      <c r="E136" s="31" t="s">
        <v>202</v>
      </c>
      <c r="F136" s="31"/>
      <c r="G136" s="31"/>
    </row>
    <row r="137" spans="2:7" x14ac:dyDescent="0.3">
      <c r="B137" s="30"/>
      <c r="C137" s="31" t="s">
        <v>189</v>
      </c>
      <c r="D137" s="31" t="s">
        <v>203</v>
      </c>
      <c r="E137" s="31"/>
      <c r="F137" s="31"/>
      <c r="G137" s="31"/>
    </row>
    <row r="138" spans="2:7" x14ac:dyDescent="0.3">
      <c r="B138" s="30"/>
      <c r="C138" s="31" t="s">
        <v>189</v>
      </c>
      <c r="D138" s="31" t="s">
        <v>204</v>
      </c>
      <c r="E138" s="31" t="s">
        <v>205</v>
      </c>
      <c r="F138" s="31"/>
      <c r="G138" s="31"/>
    </row>
    <row r="139" spans="2:7" x14ac:dyDescent="0.3">
      <c r="B139" s="30"/>
      <c r="C139" s="31" t="s">
        <v>189</v>
      </c>
      <c r="D139" s="31" t="s">
        <v>206</v>
      </c>
      <c r="E139" s="31" t="s">
        <v>207</v>
      </c>
      <c r="F139" s="31"/>
      <c r="G139" s="31"/>
    </row>
    <row r="140" spans="2:7" x14ac:dyDescent="0.3">
      <c r="B140" s="30"/>
      <c r="C140" s="31" t="s">
        <v>189</v>
      </c>
      <c r="D140" s="31" t="s">
        <v>208</v>
      </c>
      <c r="E140" s="31" t="s">
        <v>209</v>
      </c>
      <c r="F140" s="31"/>
      <c r="G140" s="31"/>
    </row>
    <row r="141" spans="2:7" x14ac:dyDescent="0.3">
      <c r="B141" s="30"/>
      <c r="C141" s="31" t="s">
        <v>189</v>
      </c>
      <c r="D141" s="31" t="s">
        <v>210</v>
      </c>
      <c r="E141" s="31" t="s">
        <v>211</v>
      </c>
      <c r="F141" s="31"/>
      <c r="G141" s="32"/>
    </row>
    <row r="142" spans="2:7" x14ac:dyDescent="0.3">
      <c r="B142" s="30"/>
      <c r="C142" s="31" t="s">
        <v>189</v>
      </c>
      <c r="D142" s="31" t="s">
        <v>212</v>
      </c>
      <c r="E142" s="31" t="s">
        <v>213</v>
      </c>
      <c r="F142" s="31"/>
      <c r="G142" s="31"/>
    </row>
    <row r="143" spans="2:7" x14ac:dyDescent="0.3">
      <c r="B143" s="30" t="s">
        <v>118</v>
      </c>
      <c r="C143" s="31" t="s">
        <v>187</v>
      </c>
      <c r="D143" s="31" t="s">
        <v>237</v>
      </c>
      <c r="E143" s="31"/>
      <c r="F143" s="31"/>
      <c r="G143" s="31"/>
    </row>
    <row r="144" spans="2:7" x14ac:dyDescent="0.3">
      <c r="B144" s="30"/>
      <c r="C144" s="31" t="s">
        <v>187</v>
      </c>
      <c r="D144" s="31" t="s">
        <v>235</v>
      </c>
      <c r="E144" s="31"/>
      <c r="F144" s="31"/>
      <c r="G144" s="31"/>
    </row>
    <row r="145" spans="2:7" x14ac:dyDescent="0.3">
      <c r="B145" s="30"/>
      <c r="C145" s="31" t="s">
        <v>189</v>
      </c>
      <c r="D145" s="31" t="s">
        <v>237</v>
      </c>
      <c r="E145" s="31"/>
      <c r="F145" s="31"/>
      <c r="G145" s="31"/>
    </row>
    <row r="146" spans="2:7" x14ac:dyDescent="0.3">
      <c r="B146" s="30"/>
      <c r="C146" s="31" t="s">
        <v>189</v>
      </c>
      <c r="D146" s="31" t="s">
        <v>235</v>
      </c>
      <c r="E146" s="31"/>
      <c r="F146" s="31"/>
      <c r="G146" s="32"/>
    </row>
    <row r="147" spans="2:7" x14ac:dyDescent="0.3">
      <c r="B147" s="30" t="s">
        <v>79</v>
      </c>
      <c r="C147" s="31" t="s">
        <v>187</v>
      </c>
      <c r="D147" s="31" t="s">
        <v>237</v>
      </c>
      <c r="E147" s="31"/>
      <c r="F147" s="31" t="s">
        <v>230</v>
      </c>
      <c r="G147" s="32">
        <v>45181</v>
      </c>
    </row>
    <row r="148" spans="2:7" x14ac:dyDescent="0.3">
      <c r="B148" s="30"/>
      <c r="C148" s="31" t="s">
        <v>187</v>
      </c>
      <c r="D148" s="31" t="s">
        <v>235</v>
      </c>
      <c r="E148" s="31"/>
      <c r="F148" s="31" t="s">
        <v>230</v>
      </c>
      <c r="G148" s="32">
        <v>45181</v>
      </c>
    </row>
    <row r="149" spans="2:7" x14ac:dyDescent="0.3">
      <c r="B149" s="30"/>
      <c r="C149" s="31" t="s">
        <v>189</v>
      </c>
      <c r="D149" s="31" t="s">
        <v>237</v>
      </c>
      <c r="E149" s="31"/>
      <c r="F149" s="31" t="s">
        <v>230</v>
      </c>
      <c r="G149" s="32">
        <v>45181</v>
      </c>
    </row>
    <row r="150" spans="2:7" x14ac:dyDescent="0.3">
      <c r="B150" s="30"/>
      <c r="C150" s="31" t="s">
        <v>189</v>
      </c>
      <c r="D150" s="31" t="s">
        <v>235</v>
      </c>
      <c r="E150" s="31"/>
      <c r="F150" s="31" t="s">
        <v>230</v>
      </c>
      <c r="G150" s="32">
        <v>45181</v>
      </c>
    </row>
    <row r="151" spans="2:7" x14ac:dyDescent="0.3">
      <c r="B151" s="30" t="s">
        <v>130</v>
      </c>
      <c r="C151" s="31" t="s">
        <v>187</v>
      </c>
      <c r="D151" s="31" t="s">
        <v>237</v>
      </c>
      <c r="E151" s="31"/>
      <c r="F151" s="31"/>
      <c r="G151" s="31"/>
    </row>
    <row r="152" spans="2:7" x14ac:dyDescent="0.3">
      <c r="B152" s="30"/>
      <c r="C152" s="31" t="s">
        <v>187</v>
      </c>
      <c r="D152" s="31" t="s">
        <v>235</v>
      </c>
      <c r="E152" s="31"/>
      <c r="F152" s="31"/>
      <c r="G152" s="31"/>
    </row>
    <row r="153" spans="2:7" x14ac:dyDescent="0.3">
      <c r="B153" s="30"/>
      <c r="C153" s="31" t="s">
        <v>189</v>
      </c>
      <c r="D153" s="31" t="s">
        <v>237</v>
      </c>
      <c r="E153" s="31"/>
      <c r="F153" s="31"/>
      <c r="G153" s="31"/>
    </row>
    <row r="154" spans="2:7" x14ac:dyDescent="0.3">
      <c r="B154" s="30"/>
      <c r="C154" s="31" t="s">
        <v>189</v>
      </c>
      <c r="D154" s="31" t="s">
        <v>235</v>
      </c>
      <c r="E154" s="31"/>
      <c r="F154" s="31"/>
      <c r="G154" s="31"/>
    </row>
    <row r="155" spans="2:7" x14ac:dyDescent="0.3">
      <c r="B155" s="30" t="s">
        <v>142</v>
      </c>
      <c r="C155" s="31" t="s">
        <v>187</v>
      </c>
      <c r="D155" s="31" t="s">
        <v>237</v>
      </c>
      <c r="E155" s="31"/>
      <c r="F155" s="31" t="s">
        <v>185</v>
      </c>
      <c r="G155" s="32">
        <v>45203</v>
      </c>
    </row>
    <row r="156" spans="2:7" x14ac:dyDescent="0.3">
      <c r="B156" s="30"/>
      <c r="C156" s="31" t="s">
        <v>187</v>
      </c>
      <c r="D156" s="31" t="s">
        <v>235</v>
      </c>
      <c r="E156" s="31"/>
      <c r="F156" s="31"/>
      <c r="G156" s="31"/>
    </row>
    <row r="157" spans="2:7" x14ac:dyDescent="0.3">
      <c r="B157" s="30"/>
      <c r="C157" s="31" t="s">
        <v>189</v>
      </c>
      <c r="D157" s="31" t="s">
        <v>237</v>
      </c>
      <c r="E157" s="31"/>
      <c r="F157" s="31"/>
      <c r="G157" s="31"/>
    </row>
    <row r="158" spans="2:7" x14ac:dyDescent="0.3">
      <c r="B158" s="30"/>
      <c r="C158" s="31" t="s">
        <v>189</v>
      </c>
      <c r="D158" s="31" t="s">
        <v>235</v>
      </c>
      <c r="E158" s="31"/>
      <c r="F158" s="31"/>
      <c r="G158" s="31"/>
    </row>
  </sheetData>
  <mergeCells count="1">
    <mergeCell ref="B1:G1"/>
  </mergeCells>
  <phoneticPr fontId="2" type="noConversion"/>
  <conditionalFormatting sqref="G3:G158">
    <cfRule type="cellIs" dxfId="13" priority="1" operator="between">
      <formula>1/1/1980</formula>
      <formula>TODAY()-15</formula>
    </cfRule>
    <cfRule type="cellIs" dxfId="12" priority="4" operator="between">
      <formula>TODAY()-7</formula>
      <formula>TODAY()-15</formula>
    </cfRule>
    <cfRule type="timePeriod" dxfId="11" priority="5" timePeriod="last7Days">
      <formula>AND(TODAY()-FLOOR(G3,1)&lt;=6,FLOOR(G3,1)&lt;=TODAY())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1">
          <controlPr defaultSize="0" autoLine="0" r:id="rId4">
            <anchor moveWithCells="1">
              <from>
                <xdr:col>8</xdr:col>
                <xdr:colOff>374650</xdr:colOff>
                <xdr:row>0</xdr:row>
                <xdr:rowOff>127000</xdr:rowOff>
              </from>
              <to>
                <xdr:col>8</xdr:col>
                <xdr:colOff>1746250</xdr:colOff>
                <xdr:row>2</xdr:row>
                <xdr:rowOff>31750</xdr:rowOff>
              </to>
            </anchor>
          </controlPr>
        </control>
      </mc:Choice>
      <mc:Fallback>
        <control shapeId="6146" r:id="rId3" name="CommandButton1"/>
      </mc:Fallback>
    </mc:AlternateContent>
    <mc:AlternateContent xmlns:mc="http://schemas.openxmlformats.org/markup-compatibility/2006">
      <mc:Choice Requires="x14">
        <control shapeId="6147" r:id="rId5" name="CommandButton2">
          <controlPr defaultSize="0" autoLine="0" autoPict="0" r:id="rId6">
            <anchor moveWithCells="1">
              <from>
                <xdr:col>8</xdr:col>
                <xdr:colOff>393700</xdr:colOff>
                <xdr:row>3</xdr:row>
                <xdr:rowOff>152400</xdr:rowOff>
              </from>
              <to>
                <xdr:col>8</xdr:col>
                <xdr:colOff>1733550</xdr:colOff>
                <xdr:row>5</xdr:row>
                <xdr:rowOff>107950</xdr:rowOff>
              </to>
            </anchor>
          </controlPr>
        </control>
      </mc:Choice>
      <mc:Fallback>
        <control shapeId="6147" r:id="rId5" name="CommandButton2"/>
      </mc:Fallback>
    </mc:AlternateContent>
  </controls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452B-1445-497C-B546-C8B86FA32AD9}">
  <sheetPr codeName="Feuil1"/>
  <dimension ref="A1:X43"/>
  <sheetViews>
    <sheetView workbookViewId="0">
      <selection activeCell="L26" sqref="L26"/>
    </sheetView>
  </sheetViews>
  <sheetFormatPr baseColWidth="10" defaultColWidth="9" defaultRowHeight="13.5" x14ac:dyDescent="0.3"/>
  <cols>
    <col min="24" max="24" width="57.84375" bestFit="1" customWidth="1"/>
  </cols>
  <sheetData>
    <row r="1" spans="1:24" x14ac:dyDescent="0.3">
      <c r="A1" t="s">
        <v>69</v>
      </c>
      <c r="Q1" t="s">
        <v>72</v>
      </c>
      <c r="X1" t="s">
        <v>75</v>
      </c>
    </row>
    <row r="2" spans="1:24" x14ac:dyDescent="0.3">
      <c r="A2" t="s">
        <v>54</v>
      </c>
      <c r="Q2" t="s">
        <v>72</v>
      </c>
      <c r="X2" t="s">
        <v>76</v>
      </c>
    </row>
    <row r="3" spans="1:24" x14ac:dyDescent="0.3">
      <c r="A3" t="s">
        <v>71</v>
      </c>
      <c r="Q3" t="s">
        <v>72</v>
      </c>
      <c r="X3" t="s">
        <v>77</v>
      </c>
    </row>
    <row r="4" spans="1:24" x14ac:dyDescent="0.3">
      <c r="A4" t="s">
        <v>49</v>
      </c>
      <c r="Q4" t="s">
        <v>72</v>
      </c>
      <c r="X4" t="s">
        <v>78</v>
      </c>
    </row>
    <row r="5" spans="1:24" x14ac:dyDescent="0.3">
      <c r="A5" t="s">
        <v>50</v>
      </c>
      <c r="Q5" t="s">
        <v>72</v>
      </c>
    </row>
    <row r="6" spans="1:24" x14ac:dyDescent="0.3">
      <c r="A6" t="s">
        <v>51</v>
      </c>
      <c r="Q6" t="s">
        <v>72</v>
      </c>
    </row>
    <row r="7" spans="1:24" x14ac:dyDescent="0.3">
      <c r="A7" t="s">
        <v>52</v>
      </c>
      <c r="Q7" t="s">
        <v>72</v>
      </c>
    </row>
    <row r="8" spans="1:24" x14ac:dyDescent="0.3">
      <c r="A8" t="s">
        <v>53</v>
      </c>
      <c r="Q8" t="s">
        <v>72</v>
      </c>
    </row>
    <row r="9" spans="1:24" x14ac:dyDescent="0.3">
      <c r="A9" t="s">
        <v>55</v>
      </c>
      <c r="Q9" t="s">
        <v>72</v>
      </c>
    </row>
    <row r="10" spans="1:24" x14ac:dyDescent="0.3">
      <c r="A10" t="s">
        <v>57</v>
      </c>
      <c r="Q10" t="s">
        <v>73</v>
      </c>
      <c r="R10" s="5" t="s">
        <v>74</v>
      </c>
      <c r="S10" s="5"/>
      <c r="T10" s="5"/>
    </row>
    <row r="11" spans="1:24" x14ac:dyDescent="0.3">
      <c r="A11" t="s">
        <v>56</v>
      </c>
      <c r="Q11" t="s">
        <v>72</v>
      </c>
    </row>
    <row r="12" spans="1:24" x14ac:dyDescent="0.3">
      <c r="A12" t="s">
        <v>58</v>
      </c>
    </row>
    <row r="13" spans="1:24" x14ac:dyDescent="0.3">
      <c r="A13" s="5" t="s">
        <v>59</v>
      </c>
      <c r="B13" s="5"/>
      <c r="C13" s="5"/>
    </row>
    <row r="27" spans="1:17" x14ac:dyDescent="0.3">
      <c r="A27" t="s">
        <v>60</v>
      </c>
      <c r="Q27" t="s">
        <v>72</v>
      </c>
    </row>
    <row r="28" spans="1:17" x14ac:dyDescent="0.3">
      <c r="A28" t="s">
        <v>61</v>
      </c>
    </row>
    <row r="29" spans="1:17" x14ac:dyDescent="0.3">
      <c r="A29" t="s">
        <v>62</v>
      </c>
    </row>
    <row r="31" spans="1:17" x14ac:dyDescent="0.3">
      <c r="A31" t="s">
        <v>63</v>
      </c>
    </row>
    <row r="33" spans="1:8" x14ac:dyDescent="0.3">
      <c r="A33" t="s">
        <v>64</v>
      </c>
    </row>
    <row r="34" spans="1:8" x14ac:dyDescent="0.3">
      <c r="A34" s="6"/>
    </row>
    <row r="35" spans="1:8" x14ac:dyDescent="0.3">
      <c r="A35" t="s">
        <v>65</v>
      </c>
    </row>
    <row r="37" spans="1:8" x14ac:dyDescent="0.3">
      <c r="A37" s="1" t="s">
        <v>66</v>
      </c>
    </row>
    <row r="39" spans="1:8" x14ac:dyDescent="0.3">
      <c r="A39" s="1" t="s">
        <v>68</v>
      </c>
    </row>
    <row r="41" spans="1:8" x14ac:dyDescent="0.3">
      <c r="A41" s="7" t="s">
        <v>67</v>
      </c>
      <c r="B41" s="7"/>
      <c r="C41" s="7"/>
      <c r="D41" s="7"/>
      <c r="E41" s="7"/>
      <c r="F41" s="7"/>
      <c r="G41" s="7"/>
      <c r="H41" s="7"/>
    </row>
    <row r="43" spans="1:8" x14ac:dyDescent="0.3">
      <c r="A43" t="s">
        <v>70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2A6F-A9CE-4805-B2D4-E91E604C222E}">
  <sheetPr codeName="Sheet4"/>
  <dimension ref="A1:O39"/>
  <sheetViews>
    <sheetView topLeftCell="B1" workbookViewId="0">
      <selection activeCell="C8" sqref="C8"/>
    </sheetView>
  </sheetViews>
  <sheetFormatPr baseColWidth="10" defaultColWidth="9.23046875" defaultRowHeight="13.5" x14ac:dyDescent="0.3"/>
  <cols>
    <col min="1" max="1" width="17.3828125" hidden="1" customWidth="1"/>
    <col min="2" max="2" width="19.84375" customWidth="1"/>
    <col min="3" max="3" width="99.84375" bestFit="1" customWidth="1"/>
    <col min="5" max="5" width="12.3828125" bestFit="1" customWidth="1"/>
    <col min="7" max="7" width="10.23046875" bestFit="1" customWidth="1"/>
    <col min="8" max="8" width="15.765625" bestFit="1" customWidth="1"/>
    <col min="12" max="12" width="43" bestFit="1" customWidth="1"/>
    <col min="15" max="15" width="26.3828125" bestFit="1" customWidth="1"/>
  </cols>
  <sheetData>
    <row r="1" spans="1:15" ht="15.5" thickBot="1" x14ac:dyDescent="0.35">
      <c r="A1" t="s">
        <v>84</v>
      </c>
      <c r="B1" s="62" t="s">
        <v>85</v>
      </c>
      <c r="C1" s="63" t="s">
        <v>161</v>
      </c>
      <c r="E1" s="91" t="s">
        <v>163</v>
      </c>
      <c r="F1" s="91"/>
      <c r="G1" s="91"/>
      <c r="H1" s="91"/>
    </row>
    <row r="2" spans="1:15" ht="15" thickBot="1" x14ac:dyDescent="0.4">
      <c r="A2" t="s">
        <v>84</v>
      </c>
      <c r="B2" s="64" t="s">
        <v>160</v>
      </c>
      <c r="C2" s="65" t="s">
        <v>312</v>
      </c>
      <c r="E2" s="14" t="s">
        <v>86</v>
      </c>
      <c r="F2" s="14" t="s">
        <v>87</v>
      </c>
      <c r="G2" s="15" t="s">
        <v>88</v>
      </c>
      <c r="H2" t="s">
        <v>39</v>
      </c>
      <c r="K2" s="23"/>
      <c r="L2" t="s">
        <v>164</v>
      </c>
      <c r="M2">
        <v>0</v>
      </c>
      <c r="O2" t="s">
        <v>320</v>
      </c>
    </row>
    <row r="3" spans="1:15" ht="15" thickBot="1" x14ac:dyDescent="0.4">
      <c r="B3" s="64" t="s">
        <v>231</v>
      </c>
      <c r="C3" s="79" t="s">
        <v>313</v>
      </c>
      <c r="E3" s="16" t="s">
        <v>101</v>
      </c>
      <c r="F3" s="16" t="s">
        <v>102</v>
      </c>
      <c r="G3" s="17">
        <v>45016</v>
      </c>
      <c r="K3" s="24"/>
      <c r="L3" t="s">
        <v>165</v>
      </c>
      <c r="M3">
        <v>1</v>
      </c>
      <c r="O3" s="36" t="s">
        <v>214</v>
      </c>
    </row>
    <row r="4" spans="1:15" ht="15" thickBot="1" x14ac:dyDescent="0.4">
      <c r="B4" s="64" t="s">
        <v>232</v>
      </c>
      <c r="C4" s="66" t="s">
        <v>314</v>
      </c>
      <c r="E4" s="16" t="s">
        <v>115</v>
      </c>
      <c r="F4" s="16" t="s">
        <v>116</v>
      </c>
      <c r="G4" s="17">
        <v>45261</v>
      </c>
      <c r="K4" s="25"/>
      <c r="L4" t="s">
        <v>166</v>
      </c>
      <c r="M4">
        <v>2</v>
      </c>
      <c r="O4" s="35" t="s">
        <v>215</v>
      </c>
    </row>
    <row r="5" spans="1:15" ht="14" thickBot="1" x14ac:dyDescent="0.35">
      <c r="B5" s="67" t="s">
        <v>162</v>
      </c>
      <c r="C5" s="68" t="s">
        <v>321</v>
      </c>
      <c r="E5" s="18" t="s">
        <v>155</v>
      </c>
      <c r="F5" s="18" t="s">
        <v>156</v>
      </c>
      <c r="G5" s="19">
        <v>45145</v>
      </c>
      <c r="K5" s="21"/>
      <c r="L5" t="s">
        <v>167</v>
      </c>
      <c r="M5">
        <v>3</v>
      </c>
      <c r="O5" s="7" t="s">
        <v>228</v>
      </c>
    </row>
    <row r="6" spans="1:15" ht="14" thickBot="1" x14ac:dyDescent="0.35">
      <c r="E6" s="18" t="s">
        <v>143</v>
      </c>
      <c r="F6" s="18" t="s">
        <v>144</v>
      </c>
      <c r="G6" s="19">
        <v>45356</v>
      </c>
    </row>
    <row r="7" spans="1:15" ht="14" thickBot="1" x14ac:dyDescent="0.35">
      <c r="E7" s="18" t="s">
        <v>99</v>
      </c>
      <c r="F7" s="18" t="s">
        <v>100</v>
      </c>
      <c r="G7" s="19">
        <v>44907</v>
      </c>
    </row>
    <row r="8" spans="1:15" ht="14" thickBot="1" x14ac:dyDescent="0.35">
      <c r="E8" s="18" t="s">
        <v>117</v>
      </c>
      <c r="F8" s="18" t="s">
        <v>118</v>
      </c>
      <c r="G8" s="19">
        <v>45233</v>
      </c>
    </row>
    <row r="9" spans="1:15" ht="14" thickBot="1" x14ac:dyDescent="0.35">
      <c r="E9" s="16" t="s">
        <v>119</v>
      </c>
      <c r="F9" s="16" t="s">
        <v>79</v>
      </c>
      <c r="G9" s="17">
        <v>45355</v>
      </c>
      <c r="H9" s="20">
        <v>45260</v>
      </c>
    </row>
    <row r="10" spans="1:15" ht="14" thickBot="1" x14ac:dyDescent="0.35">
      <c r="E10" s="16" t="s">
        <v>129</v>
      </c>
      <c r="F10" s="16" t="s">
        <v>130</v>
      </c>
      <c r="G10" s="17">
        <v>45474</v>
      </c>
    </row>
    <row r="11" spans="1:15" ht="14" thickBot="1" x14ac:dyDescent="0.35">
      <c r="E11" s="18" t="s">
        <v>135</v>
      </c>
      <c r="F11" s="18" t="s">
        <v>136</v>
      </c>
      <c r="G11" s="19">
        <v>45217</v>
      </c>
    </row>
    <row r="12" spans="1:15" ht="14" thickBot="1" x14ac:dyDescent="0.35">
      <c r="E12" s="16" t="s">
        <v>157</v>
      </c>
      <c r="F12" s="16" t="s">
        <v>158</v>
      </c>
      <c r="G12" s="17">
        <v>44858</v>
      </c>
    </row>
    <row r="13" spans="1:15" ht="14" thickBot="1" x14ac:dyDescent="0.35">
      <c r="E13" s="18" t="s">
        <v>95</v>
      </c>
      <c r="F13" s="18" t="s">
        <v>96</v>
      </c>
      <c r="G13" s="19">
        <v>44746</v>
      </c>
      <c r="H13" s="20"/>
    </row>
    <row r="14" spans="1:15" ht="14" thickBot="1" x14ac:dyDescent="0.35">
      <c r="E14" s="16" t="s">
        <v>97</v>
      </c>
      <c r="F14" s="16" t="s">
        <v>98</v>
      </c>
      <c r="G14" s="17">
        <v>44942</v>
      </c>
    </row>
    <row r="15" spans="1:15" ht="14" thickBot="1" x14ac:dyDescent="0.35">
      <c r="E15" s="18" t="s">
        <v>103</v>
      </c>
      <c r="F15" s="18" t="s">
        <v>104</v>
      </c>
      <c r="G15" s="19">
        <v>44879</v>
      </c>
    </row>
    <row r="16" spans="1:15" ht="14" thickBot="1" x14ac:dyDescent="0.35">
      <c r="E16" s="18" t="s">
        <v>111</v>
      </c>
      <c r="F16" s="18" t="s">
        <v>82</v>
      </c>
      <c r="G16" s="19">
        <v>45090</v>
      </c>
    </row>
    <row r="17" spans="5:8" ht="14" thickBot="1" x14ac:dyDescent="0.35">
      <c r="E17" s="16" t="s">
        <v>112</v>
      </c>
      <c r="F17" s="16" t="s">
        <v>83</v>
      </c>
      <c r="G17" s="17">
        <v>45215</v>
      </c>
      <c r="H17" s="20">
        <v>45169</v>
      </c>
    </row>
    <row r="18" spans="5:8" ht="14" thickBot="1" x14ac:dyDescent="0.35">
      <c r="E18" s="18" t="s">
        <v>120</v>
      </c>
      <c r="F18" s="18" t="s">
        <v>81</v>
      </c>
      <c r="G18" s="19">
        <v>45352</v>
      </c>
      <c r="H18" s="20">
        <v>45260</v>
      </c>
    </row>
    <row r="19" spans="5:8" ht="14" thickBot="1" x14ac:dyDescent="0.35">
      <c r="E19" s="16" t="s">
        <v>121</v>
      </c>
      <c r="F19" s="16" t="s">
        <v>122</v>
      </c>
      <c r="G19" s="17">
        <v>45408</v>
      </c>
    </row>
    <row r="20" spans="5:8" ht="14" thickBot="1" x14ac:dyDescent="0.35">
      <c r="E20" s="18" t="s">
        <v>123</v>
      </c>
      <c r="F20" s="18" t="s">
        <v>124</v>
      </c>
      <c r="G20" s="19">
        <v>45478</v>
      </c>
    </row>
    <row r="21" spans="5:8" ht="14" thickBot="1" x14ac:dyDescent="0.35">
      <c r="E21" s="18" t="s">
        <v>131</v>
      </c>
      <c r="F21" s="18" t="s">
        <v>132</v>
      </c>
      <c r="G21" s="19">
        <v>45527</v>
      </c>
    </row>
    <row r="22" spans="5:8" ht="14" thickBot="1" x14ac:dyDescent="0.35">
      <c r="E22" s="16" t="s">
        <v>105</v>
      </c>
      <c r="F22" s="16" t="s">
        <v>106</v>
      </c>
      <c r="G22" s="17">
        <v>45881</v>
      </c>
    </row>
    <row r="23" spans="5:8" ht="14" thickBot="1" x14ac:dyDescent="0.35">
      <c r="E23" s="18" t="s">
        <v>91</v>
      </c>
      <c r="F23" s="18" t="s">
        <v>92</v>
      </c>
      <c r="G23" s="19">
        <v>44862</v>
      </c>
      <c r="H23" s="20"/>
    </row>
    <row r="24" spans="5:8" ht="14" thickBot="1" x14ac:dyDescent="0.35">
      <c r="E24" s="18" t="s">
        <v>107</v>
      </c>
      <c r="F24" s="18" t="s">
        <v>108</v>
      </c>
      <c r="G24" s="19">
        <v>45093</v>
      </c>
    </row>
    <row r="25" spans="5:8" ht="14" thickBot="1" x14ac:dyDescent="0.35">
      <c r="E25" s="16" t="s">
        <v>109</v>
      </c>
      <c r="F25" s="16" t="s">
        <v>110</v>
      </c>
      <c r="G25" s="17">
        <v>45191</v>
      </c>
    </row>
    <row r="26" spans="5:8" ht="14" thickBot="1" x14ac:dyDescent="0.35">
      <c r="E26" s="16" t="s">
        <v>125</v>
      </c>
      <c r="F26" s="16" t="s">
        <v>126</v>
      </c>
      <c r="G26" s="17">
        <v>45362</v>
      </c>
    </row>
    <row r="27" spans="5:8" ht="14" thickBot="1" x14ac:dyDescent="0.35">
      <c r="E27" s="18" t="s">
        <v>127</v>
      </c>
      <c r="F27" s="18" t="s">
        <v>128</v>
      </c>
      <c r="G27" s="19">
        <v>45362</v>
      </c>
    </row>
    <row r="28" spans="5:8" ht="14" thickBot="1" x14ac:dyDescent="0.35">
      <c r="E28" s="18" t="s">
        <v>113</v>
      </c>
      <c r="F28" s="18" t="s">
        <v>114</v>
      </c>
      <c r="G28" s="19">
        <v>45120</v>
      </c>
    </row>
    <row r="29" spans="5:8" ht="14" thickBot="1" x14ac:dyDescent="0.35">
      <c r="E29" s="16" t="s">
        <v>145</v>
      </c>
      <c r="F29" s="16" t="s">
        <v>146</v>
      </c>
      <c r="G29" s="17">
        <v>45022</v>
      </c>
    </row>
    <row r="30" spans="5:8" ht="14" thickBot="1" x14ac:dyDescent="0.35">
      <c r="E30" s="18" t="s">
        <v>147</v>
      </c>
      <c r="F30" s="18" t="s">
        <v>148</v>
      </c>
      <c r="G30" s="19">
        <v>45086</v>
      </c>
    </row>
    <row r="31" spans="5:8" ht="14" thickBot="1" x14ac:dyDescent="0.35">
      <c r="E31" s="16" t="s">
        <v>149</v>
      </c>
      <c r="F31" s="16" t="s">
        <v>150</v>
      </c>
      <c r="G31" s="17">
        <v>45222</v>
      </c>
    </row>
    <row r="32" spans="5:8" ht="14" thickBot="1" x14ac:dyDescent="0.35">
      <c r="E32" s="18" t="s">
        <v>151</v>
      </c>
      <c r="F32" s="18" t="s">
        <v>152</v>
      </c>
      <c r="G32" s="19">
        <v>45313</v>
      </c>
    </row>
    <row r="33" spans="5:8" ht="14" thickBot="1" x14ac:dyDescent="0.35">
      <c r="E33" s="16" t="s">
        <v>133</v>
      </c>
      <c r="F33" s="16" t="s">
        <v>134</v>
      </c>
      <c r="G33" s="17">
        <v>45415</v>
      </c>
    </row>
    <row r="34" spans="5:8" ht="14" thickBot="1" x14ac:dyDescent="0.35">
      <c r="E34" s="16" t="s">
        <v>137</v>
      </c>
      <c r="F34" s="16" t="s">
        <v>138</v>
      </c>
      <c r="G34" s="17">
        <v>45076</v>
      </c>
    </row>
    <row r="35" spans="5:8" ht="14" thickBot="1" x14ac:dyDescent="0.35">
      <c r="E35" s="18" t="s">
        <v>139</v>
      </c>
      <c r="F35" s="18" t="s">
        <v>140</v>
      </c>
      <c r="G35" s="19">
        <v>45083</v>
      </c>
    </row>
    <row r="36" spans="5:8" ht="14" thickBot="1" x14ac:dyDescent="0.35">
      <c r="E36" s="16" t="s">
        <v>89</v>
      </c>
      <c r="F36" s="16" t="s">
        <v>90</v>
      </c>
      <c r="G36" s="17">
        <v>44712</v>
      </c>
    </row>
    <row r="37" spans="5:8" ht="14" thickBot="1" x14ac:dyDescent="0.35">
      <c r="E37" s="16" t="s">
        <v>141</v>
      </c>
      <c r="F37" s="16" t="s">
        <v>142</v>
      </c>
      <c r="G37" s="17">
        <v>45219</v>
      </c>
      <c r="H37" s="20">
        <v>45139</v>
      </c>
    </row>
    <row r="38" spans="5:8" ht="14" thickBot="1" x14ac:dyDescent="0.35">
      <c r="E38" s="16" t="s">
        <v>93</v>
      </c>
      <c r="F38" s="16" t="s">
        <v>94</v>
      </c>
      <c r="G38" s="17">
        <v>44692</v>
      </c>
    </row>
    <row r="39" spans="5:8" ht="14" thickBot="1" x14ac:dyDescent="0.35">
      <c r="E39" s="16" t="s">
        <v>153</v>
      </c>
      <c r="F39" s="16" t="s">
        <v>154</v>
      </c>
      <c r="G39" s="17">
        <v>44757</v>
      </c>
    </row>
  </sheetData>
  <mergeCells count="1">
    <mergeCell ref="E1:H1"/>
  </mergeCells>
  <hyperlinks>
    <hyperlink ref="C3" r:id="rId1" xr:uid="{1C925485-0F77-4FD8-A56A-15034E057C12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FE0549A141DD44A41DBA1BC5D23137" ma:contentTypeVersion="7" ma:contentTypeDescription="Create a new document." ma:contentTypeScope="" ma:versionID="2db17e43fd52eab74102f1d797b8928f">
  <xsd:schema xmlns:xsd="http://www.w3.org/2001/XMLSchema" xmlns:xs="http://www.w3.org/2001/XMLSchema" xmlns:p="http://schemas.microsoft.com/office/2006/metadata/properties" xmlns:ns3="e0b957bb-4def-4d62-8b5c-764685cac860" xmlns:ns4="5ce68b7c-e236-4d9d-8112-44cc885db3b9" targetNamespace="http://schemas.microsoft.com/office/2006/metadata/properties" ma:root="true" ma:fieldsID="feb4b55019805f85a3db11e0a996f9d6" ns3:_="" ns4:_="">
    <xsd:import namespace="e0b957bb-4def-4d62-8b5c-764685cac860"/>
    <xsd:import namespace="5ce68b7c-e236-4d9d-8112-44cc885db3b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b957bb-4def-4d62-8b5c-764685cac8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e68b7c-e236-4d9d-8112-44cc885db3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e68b7c-e236-4d9d-8112-44cc885db3b9" xsi:nil="true"/>
  </documentManagement>
</p:properties>
</file>

<file path=customXml/itemProps1.xml><?xml version="1.0" encoding="utf-8"?>
<ds:datastoreItem xmlns:ds="http://schemas.openxmlformats.org/officeDocument/2006/customXml" ds:itemID="{64FB1387-13EB-4138-8AE8-BEECC8CD7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b957bb-4def-4d62-8b5c-764685cac860"/>
    <ds:schemaRef ds:uri="5ce68b7c-e236-4d9d-8112-44cc885db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A11D15-CA95-4419-A330-350B27F73E1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9C3B9F5-647C-4B1F-BEEA-E371D2FDE41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F7818E7E-547C-41D4-8896-44F11BC7ACC0}">
  <ds:schemaRefs>
    <ds:schemaRef ds:uri="e0b957bb-4def-4d62-8b5c-764685cac860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5ce68b7c-e236-4d9d-8112-44cc885db3b9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Projet</vt:lpstr>
      <vt:lpstr>TCD</vt:lpstr>
      <vt:lpstr>IMA Stock Logistica</vt:lpstr>
      <vt:lpstr>Critical Matrix</vt:lpstr>
      <vt:lpstr>Update List</vt:lpstr>
      <vt:lpstr>To do list</vt:lpstr>
      <vt:lpstr>Pilotage</vt:lpstr>
      <vt:lpstr>Date_du_besoin</vt:lpstr>
      <vt:lpstr>Stock_path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Luanga Mukela Faustin - External</dc:creator>
  <cp:lastModifiedBy>Ragheb LAHBAZI</cp:lastModifiedBy>
  <cp:lastPrinted>2023-09-15T08:54:56Z</cp:lastPrinted>
  <dcterms:created xsi:type="dcterms:W3CDTF">2023-09-13T11:45:04Z</dcterms:created>
  <dcterms:modified xsi:type="dcterms:W3CDTF">2023-10-27T14:53:38Z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0x010100A1FE0549A141DD44A41DBA1BC5D23137</vt:lpwstr>
  </property>
</Properties>
</file>